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24b9a9c10e151e3/Desktop/Aswin's Project/Excel_projects/"/>
    </mc:Choice>
  </mc:AlternateContent>
  <xr:revisionPtr revIDLastSave="0" documentId="8_{542EC2B0-ED45-46CC-A492-9F402B34477E}" xr6:coauthVersionLast="47" xr6:coauthVersionMax="47" xr10:uidLastSave="{00000000-0000-0000-0000-000000000000}"/>
  <bookViews>
    <workbookView xWindow="2820" yWindow="2820" windowWidth="17280" windowHeight="9960" xr2:uid="{00000000-000D-0000-FFFF-FFFF00000000}"/>
  </bookViews>
  <sheets>
    <sheet name="Raw_Data" sheetId="1" r:id="rId1"/>
    <sheet name="Data_Cleaning" sheetId="2" r:id="rId2"/>
    <sheet name="Calcul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B5" i="3"/>
  <c r="B6" i="3"/>
  <c r="B7" i="3"/>
  <c r="B12" i="3"/>
  <c r="C12" i="3"/>
  <c r="D12" i="3"/>
  <c r="B13" i="3"/>
  <c r="C13" i="3"/>
  <c r="D13" i="3"/>
  <c r="B14" i="3"/>
  <c r="C14" i="3"/>
  <c r="D14" i="3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3" i="2"/>
  <c r="K2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</calcChain>
</file>

<file path=xl/sharedStrings.xml><?xml version="1.0" encoding="utf-8"?>
<sst xmlns="http://schemas.openxmlformats.org/spreadsheetml/2006/main" count="8031" uniqueCount="234">
  <si>
    <t>Date</t>
  </si>
  <si>
    <t>Employee_Name</t>
  </si>
  <si>
    <t>Department</t>
  </si>
  <si>
    <t>Orders_Handled</t>
  </si>
  <si>
    <t>Revenue</t>
  </si>
  <si>
    <t>Target</t>
  </si>
  <si>
    <t>Attendance_Status</t>
  </si>
  <si>
    <t>2024-05-12</t>
  </si>
  <si>
    <t>Emp_19</t>
  </si>
  <si>
    <t>Operations</t>
  </si>
  <si>
    <t>Present</t>
  </si>
  <si>
    <t>2024-06-04</t>
  </si>
  <si>
    <t>Emp_11</t>
  </si>
  <si>
    <t>Support</t>
  </si>
  <si>
    <t>2024-06-10</t>
  </si>
  <si>
    <t>Emp_27</t>
  </si>
  <si>
    <t>2024-03-28</t>
  </si>
  <si>
    <t>Emp_30</t>
  </si>
  <si>
    <t>2024-04-25</t>
  </si>
  <si>
    <t>Emp_13</t>
  </si>
  <si>
    <t>2024-02-28</t>
  </si>
  <si>
    <t>Emp_29</t>
  </si>
  <si>
    <t>Sales</t>
  </si>
  <si>
    <t>2024-03-05</t>
  </si>
  <si>
    <t>2024-05-17</t>
  </si>
  <si>
    <t>Emp_2</t>
  </si>
  <si>
    <t>Absent</t>
  </si>
  <si>
    <t>Emp_3</t>
  </si>
  <si>
    <t>2024-03-21</t>
  </si>
  <si>
    <t>Emp_18</t>
  </si>
  <si>
    <t>2024-03-13</t>
  </si>
  <si>
    <t>Emp_14</t>
  </si>
  <si>
    <t>2024-04-03</t>
  </si>
  <si>
    <t>Emp_5</t>
  </si>
  <si>
    <t>2024-01-04</t>
  </si>
  <si>
    <t>Emp_16</t>
  </si>
  <si>
    <t>2024-05-29</t>
  </si>
  <si>
    <t>Emp_20</t>
  </si>
  <si>
    <t>2024-01-16</t>
  </si>
  <si>
    <t>2024-02-22</t>
  </si>
  <si>
    <t>Emp_26</t>
  </si>
  <si>
    <t>2024-06-25</t>
  </si>
  <si>
    <t>Emp_25</t>
  </si>
  <si>
    <t>2024-02-19</t>
  </si>
  <si>
    <t>2024-03-27</t>
  </si>
  <si>
    <t>2024-06-17</t>
  </si>
  <si>
    <t>Emp_15</t>
  </si>
  <si>
    <t>2024-05-28</t>
  </si>
  <si>
    <t>Emp_1</t>
  </si>
  <si>
    <t>2024-03-08</t>
  </si>
  <si>
    <t>Emp_12</t>
  </si>
  <si>
    <t>2024-04-20</t>
  </si>
  <si>
    <t>Emp_23</t>
  </si>
  <si>
    <t>2024-01-02</t>
  </si>
  <si>
    <t>Emp_4</t>
  </si>
  <si>
    <t>2024-02-23</t>
  </si>
  <si>
    <t>Emp_24</t>
  </si>
  <si>
    <t>2024-06-22</t>
  </si>
  <si>
    <t>2024-05-24</t>
  </si>
  <si>
    <t>2024-03-23</t>
  </si>
  <si>
    <t>2024-05-01</t>
  </si>
  <si>
    <t>2024-01-22</t>
  </si>
  <si>
    <t>2024-01-26</t>
  </si>
  <si>
    <t>2024-06-15</t>
  </si>
  <si>
    <t>Emp_8</t>
  </si>
  <si>
    <t>2024-04-06</t>
  </si>
  <si>
    <t>2024-06-14</t>
  </si>
  <si>
    <t>Emp_22</t>
  </si>
  <si>
    <t>2024-06-21</t>
  </si>
  <si>
    <t>Emp_17</t>
  </si>
  <si>
    <t>2024-05-08</t>
  </si>
  <si>
    <t>2024-04-02</t>
  </si>
  <si>
    <t>2024-03-04</t>
  </si>
  <si>
    <t>Emp_10</t>
  </si>
  <si>
    <t>2024-06-23</t>
  </si>
  <si>
    <t>Emp_7</t>
  </si>
  <si>
    <t>2024-02-29</t>
  </si>
  <si>
    <t>2024-06-13</t>
  </si>
  <si>
    <t>2024-04-13</t>
  </si>
  <si>
    <t>Emp_28</t>
  </si>
  <si>
    <t>2024-05-21</t>
  </si>
  <si>
    <t>2024-02-11</t>
  </si>
  <si>
    <t>2024-01-07</t>
  </si>
  <si>
    <t>2024-03-07</t>
  </si>
  <si>
    <t>2024-05-05</t>
  </si>
  <si>
    <t>2024-04-29</t>
  </si>
  <si>
    <t>2024-04-17</t>
  </si>
  <si>
    <t>2024-05-03</t>
  </si>
  <si>
    <t>2024-06-26</t>
  </si>
  <si>
    <t>2024-06-05</t>
  </si>
  <si>
    <t>2024-05-06</t>
  </si>
  <si>
    <t>2024-01-27</t>
  </si>
  <si>
    <t>Emp_21</t>
  </si>
  <si>
    <t>2024-03-17</t>
  </si>
  <si>
    <t>2024-02-02</t>
  </si>
  <si>
    <t>2024-05-18</t>
  </si>
  <si>
    <t>2024-06-28</t>
  </si>
  <si>
    <t>2024-03-16</t>
  </si>
  <si>
    <t>2024-03-09</t>
  </si>
  <si>
    <t>2024-05-26</t>
  </si>
  <si>
    <t>2024-04-11</t>
  </si>
  <si>
    <t>Emp_9</t>
  </si>
  <si>
    <t>2024-05-31</t>
  </si>
  <si>
    <t>2024-05-23</t>
  </si>
  <si>
    <t>2024-04-16</t>
  </si>
  <si>
    <t>2024-05-20</t>
  </si>
  <si>
    <t>2024-03-24</t>
  </si>
  <si>
    <t>2024-03-20</t>
  </si>
  <si>
    <t>2024-04-07</t>
  </si>
  <si>
    <t>2024-03-03</t>
  </si>
  <si>
    <t>2024-04-09</t>
  </si>
  <si>
    <t>2024-03-10</t>
  </si>
  <si>
    <t>2024-04-01</t>
  </si>
  <si>
    <t>2024-03-31</t>
  </si>
  <si>
    <t>2024-05-13</t>
  </si>
  <si>
    <t>2024-01-18</t>
  </si>
  <si>
    <t>2024-06-01</t>
  </si>
  <si>
    <t>2024-01-30</t>
  </si>
  <si>
    <t>2024-01-24</t>
  </si>
  <si>
    <t>2024-01-25</t>
  </si>
  <si>
    <t>Emp_6</t>
  </si>
  <si>
    <t>2024-04-15</t>
  </si>
  <si>
    <t>2024-02-06</t>
  </si>
  <si>
    <t>2024-06-06</t>
  </si>
  <si>
    <t>2024-02-16</t>
  </si>
  <si>
    <t>2024-06-27</t>
  </si>
  <si>
    <t>2024-06-20</t>
  </si>
  <si>
    <t>2024-06-16</t>
  </si>
  <si>
    <t>2024-01-21</t>
  </si>
  <si>
    <t>2024-04-26</t>
  </si>
  <si>
    <t>2024-05-15</t>
  </si>
  <si>
    <t>2024-02-04</t>
  </si>
  <si>
    <t>2024-06-03</t>
  </si>
  <si>
    <t>2024-01-31</t>
  </si>
  <si>
    <t>2024-02-09</t>
  </si>
  <si>
    <t>2024-02-08</t>
  </si>
  <si>
    <t>2024-03-14</t>
  </si>
  <si>
    <t>2024-05-04</t>
  </si>
  <si>
    <t>2024-04-04</t>
  </si>
  <si>
    <t>2024-04-24</t>
  </si>
  <si>
    <t>2024-04-12</t>
  </si>
  <si>
    <t>2024-02-20</t>
  </si>
  <si>
    <t>2024-01-19</t>
  </si>
  <si>
    <t>2024-01-12</t>
  </si>
  <si>
    <t>2024-01-06</t>
  </si>
  <si>
    <t>2024-02-12</t>
  </si>
  <si>
    <t>2024-02-18</t>
  </si>
  <si>
    <t>2024-02-15</t>
  </si>
  <si>
    <t>2024-06-08</t>
  </si>
  <si>
    <t>2024-03-18</t>
  </si>
  <si>
    <t>2024-02-10</t>
  </si>
  <si>
    <t>2024-01-29</t>
  </si>
  <si>
    <t>2024-01-09</t>
  </si>
  <si>
    <t>2024-04-08</t>
  </si>
  <si>
    <t>2024-06-12</t>
  </si>
  <si>
    <t>2024-05-14</t>
  </si>
  <si>
    <t>2024-01-05</t>
  </si>
  <si>
    <t>2024-01-14</t>
  </si>
  <si>
    <t>2024-06-09</t>
  </si>
  <si>
    <t>2024-05-02</t>
  </si>
  <si>
    <t>2024-02-17</t>
  </si>
  <si>
    <t>2024-03-25</t>
  </si>
  <si>
    <t>2024-04-23</t>
  </si>
  <si>
    <t>2024-01-13</t>
  </si>
  <si>
    <t>2024-06-11</t>
  </si>
  <si>
    <t>2024-02-26</t>
  </si>
  <si>
    <t>2024-01-11</t>
  </si>
  <si>
    <t>2024-05-10</t>
  </si>
  <si>
    <t>2024-03-29</t>
  </si>
  <si>
    <t>2024-01-08</t>
  </si>
  <si>
    <t>2024-04-14</t>
  </si>
  <si>
    <t>2024-01-23</t>
  </si>
  <si>
    <t>2024-05-22</t>
  </si>
  <si>
    <t>2024-06-07</t>
  </si>
  <si>
    <t>2024-03-01</t>
  </si>
  <si>
    <t>2024-05-30</t>
  </si>
  <si>
    <t>2024-03-26</t>
  </si>
  <si>
    <t>2024-03-30</t>
  </si>
  <si>
    <t>2024-02-25</t>
  </si>
  <si>
    <t>2024-03-22</t>
  </si>
  <si>
    <t>2024-01-10</t>
  </si>
  <si>
    <t>2024-05-09</t>
  </si>
  <si>
    <t>2024-02-01</t>
  </si>
  <si>
    <t>2024-03-06</t>
  </si>
  <si>
    <t>2024-04-21</t>
  </si>
  <si>
    <t>2024-02-21</t>
  </si>
  <si>
    <t>2024-04-18</t>
  </si>
  <si>
    <t>2024-03-12</t>
  </si>
  <si>
    <t>2024-05-07</t>
  </si>
  <si>
    <t>2024-03-15</t>
  </si>
  <si>
    <t>2024-02-07</t>
  </si>
  <si>
    <t>2024-03-02</t>
  </si>
  <si>
    <t>2024-01-17</t>
  </si>
  <si>
    <t>2024-05-27</t>
  </si>
  <si>
    <t>2024-01-28</t>
  </si>
  <si>
    <t>2024-02-24</t>
  </si>
  <si>
    <t>2024-04-27</t>
  </si>
  <si>
    <t>2024-05-19</t>
  </si>
  <si>
    <t>2024-05-25</t>
  </si>
  <si>
    <t>2024-03-11</t>
  </si>
  <si>
    <t>2024-05-11</t>
  </si>
  <si>
    <t>2024-01-01</t>
  </si>
  <si>
    <t>2024-06-24</t>
  </si>
  <si>
    <t>2024-01-15</t>
  </si>
  <si>
    <t>2024-06-29</t>
  </si>
  <si>
    <t>2024-04-19</t>
  </si>
  <si>
    <t>2024-06-19</t>
  </si>
  <si>
    <t>2024-03-19</t>
  </si>
  <si>
    <t>2024-04-28</t>
  </si>
  <si>
    <t>2024-02-03</t>
  </si>
  <si>
    <t>2024-04-22</t>
  </si>
  <si>
    <t>2024-04-05</t>
  </si>
  <si>
    <t>2024-02-05</t>
  </si>
  <si>
    <t>2024-01-03</t>
  </si>
  <si>
    <t>2024-06-18</t>
  </si>
  <si>
    <t>2024-01-20</t>
  </si>
  <si>
    <t>2024-02-13</t>
  </si>
  <si>
    <t>2024-02-27</t>
  </si>
  <si>
    <t>2024-04-10</t>
  </si>
  <si>
    <t>2024-02-14</t>
  </si>
  <si>
    <t>2024-04-30</t>
  </si>
  <si>
    <t>2024-05-16</t>
  </si>
  <si>
    <t>Month</t>
  </si>
  <si>
    <t>Target_Achieved</t>
  </si>
  <si>
    <t>Attendance_Flag</t>
  </si>
  <si>
    <t>Week_Number</t>
  </si>
  <si>
    <t>Selected Week</t>
  </si>
  <si>
    <t>Total Revenue</t>
  </si>
  <si>
    <t>Total Orders</t>
  </si>
  <si>
    <t>Target %</t>
  </si>
  <si>
    <t>Attendance %</t>
  </si>
  <si>
    <t>Orders</t>
  </si>
  <si>
    <t>Target%</t>
  </si>
  <si>
    <t xml:space="preserve">       WEEKLY MIS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</si>
</sst>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0"/>
      <name val="Nirmala UI"/>
      <family val="2"/>
    </font>
    <font>
      <b/>
      <sz val="18"/>
      <color theme="1"/>
      <name val="Calibri"/>
      <family val="2"/>
      <scheme val="minor"/>
    </font>
    <font>
      <b/>
      <sz val="12"/>
      <color theme="0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0" xfId="0" applyFont="1"/>
    <xf numFmtId="0" fontId="7" fillId="0" borderId="0" xfId="0" applyFont="1"/>
    <xf numFmtId="10" fontId="6" fillId="0" borderId="0" xfId="1" applyNumberFormat="1" applyFont="1"/>
    <xf numFmtId="10" fontId="6" fillId="0" borderId="0" xfId="0" applyNumberFormat="1" applyFont="1"/>
    <xf numFmtId="0" fontId="0" fillId="2" borderId="0" xfId="0" applyFill="1" applyAlignment="1">
      <alignment horizontal="centerContinuous"/>
    </xf>
    <xf numFmtId="0" fontId="9" fillId="2" borderId="0" xfId="0" applyFont="1" applyFill="1" applyAlignment="1">
      <alignment horizontal="centerContinuous"/>
    </xf>
    <xf numFmtId="164" fontId="10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10" fontId="10" fillId="0" borderId="0" xfId="1" applyNumberFormat="1" applyFont="1" applyAlignment="1">
      <alignment vertical="center"/>
    </xf>
    <xf numFmtId="10" fontId="10" fillId="0" borderId="0" xfId="1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0" fontId="8" fillId="3" borderId="1" xfId="0" applyFont="1" applyFill="1" applyBorder="1"/>
    <xf numFmtId="0" fontId="4" fillId="4" borderId="1" xfId="0" applyFont="1" applyFill="1" applyBorder="1" applyAlignment="1">
      <alignment horizontal="center" vertical="center"/>
    </xf>
    <xf numFmtId="164" fontId="6" fillId="0" borderId="0" xfId="0" applyNumberFormat="1" applyFont="1"/>
  </cellXfs>
  <cellStyles count="2">
    <cellStyle name="Normal" xfId="0" builtinId="0"/>
    <cellStyle name="Percent" xfId="1" builtinId="5"/>
  </cellStyles>
  <dxfs count="10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REVENUE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Calculation!$A$12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Calculation!$B$10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Calculation!$B$12</c:f>
              <c:numCache>
                <c:formatCode>"₹"\ #,##0.00</c:formatCode>
                <c:ptCount val="1"/>
                <c:pt idx="0">
                  <c:v>296086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52C-48A0-A4E5-156813EE0C65}"/>
            </c:ext>
          </c:extLst>
        </c:ser>
        <c:ser>
          <c:idx val="2"/>
          <c:order val="2"/>
          <c:tx>
            <c:strRef>
              <c:f>Calculation!$A$13</c:f>
              <c:strCache>
                <c:ptCount val="1"/>
                <c:pt idx="0">
                  <c:v>Support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Calculation!$B$10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Calculation!$B$13</c:f>
              <c:numCache>
                <c:formatCode>"₹"\ #,##0.00</c:formatCode>
                <c:ptCount val="1"/>
                <c:pt idx="0">
                  <c:v>221488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52C-48A0-A4E5-156813EE0C65}"/>
            </c:ext>
          </c:extLst>
        </c:ser>
        <c:ser>
          <c:idx val="3"/>
          <c:order val="3"/>
          <c:tx>
            <c:strRef>
              <c:f>Calculation!$A$14</c:f>
              <c:strCache>
                <c:ptCount val="1"/>
                <c:pt idx="0">
                  <c:v>Operations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Calculation!$B$10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Calculation!$B$14</c:f>
              <c:numCache>
                <c:formatCode>"₹"\ #,##0.00</c:formatCode>
                <c:ptCount val="1"/>
                <c:pt idx="0">
                  <c:v>241525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52C-48A0-A4E5-156813EE0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38386400"/>
        <c:axId val="193838736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Calculation!$A$11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hade val="51000"/>
                          <a:satMod val="130000"/>
                        </a:schemeClr>
                      </a:gs>
                      <a:gs pos="80000">
                        <a:schemeClr val="accent1">
                          <a:shade val="93000"/>
                          <a:satMod val="130000"/>
                        </a:schemeClr>
                      </a:gs>
                      <a:gs pos="100000">
                        <a:schemeClr val="accent1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Calculation!$B$10</c15:sqref>
                        </c15:formulaRef>
                      </c:ext>
                    </c:extLst>
                    <c:strCache>
                      <c:ptCount val="1"/>
                      <c:pt idx="0">
                        <c:v>Revenue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Calculation!$B$11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52C-48A0-A4E5-156813EE0C65}"/>
                  </c:ext>
                </c:extLst>
              </c15:ser>
            </c15:filteredBarSeries>
          </c:ext>
        </c:extLst>
      </c:barChart>
      <c:catAx>
        <c:axId val="193838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387360"/>
        <c:crosses val="autoZero"/>
        <c:auto val="1"/>
        <c:lblAlgn val="ctr"/>
        <c:lblOffset val="100"/>
        <c:noMultiLvlLbl val="0"/>
      </c:catAx>
      <c:valAx>
        <c:axId val="193838736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>
              <a:softEdge rad="0"/>
            </a:effectLst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38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121920</xdr:colOff>
      <xdr:row>7</xdr:row>
      <xdr:rowOff>140970</xdr:rowOff>
    </xdr:from>
    <xdr:to>
      <xdr:col>11</xdr:col>
      <xdr:colOff>342900</xdr:colOff>
      <xdr:row>20</xdr:row>
      <xdr:rowOff>251460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CAD627-6E26-5FBA-9889-1826BF8CC4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ED9F31-5659-487C-B4C5-7D0FDDFC1951}" name="RawData" displayName="RawData" ref="A1:G1001" totalsRowShown="0">
  <autoFilter ref="A1:G1001" xr:uid="{28ED9F31-5659-487C-B4C5-7D0FDDFC1951}"/>
  <tableColumns count="7">
    <tableColumn id="1" xr3:uid="{548E9EAE-70AB-4AEA-ABD0-F31E2E5408CD}" name="Date"/>
    <tableColumn id="2" xr3:uid="{E23B9DC5-E4D3-4286-8025-76880119CFAD}" name="Employee_Name"/>
    <tableColumn id="3" xr3:uid="{AE63D60B-65C8-450F-B3AA-8C46C9BCC7D7}" name="Department"/>
    <tableColumn id="4" xr3:uid="{5AB6D67C-8669-4FDD-A772-5FBD60284ADC}" name="Orders_Handled"/>
    <tableColumn id="5" xr3:uid="{FA1B98DC-8D53-4DCE-8720-7E08BB3A041E}" name="Revenue"/>
    <tableColumn id="6" xr3:uid="{7D9B79EC-5B83-46D6-83ED-63C610CA795C}" name="Target"/>
    <tableColumn id="7" xr3:uid="{2AE1B614-DBD5-489A-A6BB-F583D4D7A7B0}" name="Attendance_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2CDD3C-7516-4097-8871-E2AF4DBEF007}" name="CleanData" displayName="CleanData" ref="A1:K1001" totalsRowShown="0">
  <autoFilter ref="A1:K1001" xr:uid="{192CDD3C-7516-4097-8871-E2AF4DBEF007}"/>
  <tableColumns count="11">
    <tableColumn id="1" xr3:uid="{BCB8AD4C-11D5-40E9-8195-699E174277C9}" name="Date"/>
    <tableColumn id="2" xr3:uid="{78E30799-25FB-40D9-ADAB-F3BFFEDDA212}" name="Employee_Name"/>
    <tableColumn id="3" xr3:uid="{6C5447AC-A76B-494D-992C-448972E8A487}" name="Department"/>
    <tableColumn id="4" xr3:uid="{A1D68E03-9DC2-4B4D-9F25-DDAD69BBFBAB}" name="Orders_Handled"/>
    <tableColumn id="5" xr3:uid="{E510EE13-40AB-4AAA-8E8E-830152EF062E}" name="Revenue"/>
    <tableColumn id="6" xr3:uid="{410380E5-A539-41C4-9878-67934F187436}" name="Target"/>
    <tableColumn id="7" xr3:uid="{434FACAE-929E-414A-8AB0-92376DA16815}" name="Attendance_Status"/>
    <tableColumn id="8" xr3:uid="{21BA2AFA-BB79-4EE5-AD21-596D03BEA1F7}" name="Month" dataDxfId="9">
      <calculatedColumnFormula>TEXT(CleanData[[#This Row],[Date]],"mmm")</calculatedColumnFormula>
    </tableColumn>
    <tableColumn id="9" xr3:uid="{9DE0364D-2171-4955-9E12-A79307B35628}" name="Week_Number" dataDxfId="8">
      <calculatedColumnFormula>WEEKNUM(CleanData[[#This Row],[Date]])</calculatedColumnFormula>
    </tableColumn>
    <tableColumn id="10" xr3:uid="{DA3D053A-70B5-41DA-A782-106A10CF90FA}" name="Target_Achieved" dataDxfId="7">
      <calculatedColumnFormula>IF(CleanData[[#This Row],[Revenue]]&gt;=CleanData[[#This Row],[Target]],1,0)</calculatedColumnFormula>
    </tableColumn>
    <tableColumn id="11" xr3:uid="{22C668FC-CC28-42E4-8F57-2DF3B67C7E7F}" name="Attendance_Flag" dataDxfId="6">
      <calculatedColumnFormula>IF(CleanData[[#This Row],[Attendance_Status]]="Present",1,0)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>
      <selection activeCell="B1" sqref="B1:B1048576"/>
    </sheetView>
  </sheetViews>
  <sheetFormatPr defaultRowHeight="14.4" x14ac:dyDescent="0.3"/>
  <cols>
    <col min="2" max="2" width="17.21875" customWidth="1"/>
    <col min="3" max="3" width="13" customWidth="1"/>
    <col min="4" max="4" width="16.44140625" customWidth="1"/>
    <col min="5" max="5" width="10.21875" customWidth="1"/>
    <col min="7" max="7" width="18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25</v>
      </c>
      <c r="E2">
        <v>24319</v>
      </c>
      <c r="F2">
        <v>16621</v>
      </c>
      <c r="G2" t="s">
        <v>10</v>
      </c>
    </row>
    <row r="3" spans="1:7" x14ac:dyDescent="0.3">
      <c r="A3" t="s">
        <v>11</v>
      </c>
      <c r="B3" t="s">
        <v>12</v>
      </c>
      <c r="C3" t="s">
        <v>13</v>
      </c>
      <c r="D3">
        <v>9</v>
      </c>
      <c r="E3">
        <v>17230</v>
      </c>
      <c r="F3">
        <v>24682</v>
      </c>
      <c r="G3" t="s">
        <v>10</v>
      </c>
    </row>
    <row r="4" spans="1:7" x14ac:dyDescent="0.3">
      <c r="A4" t="s">
        <v>14</v>
      </c>
      <c r="B4" t="s">
        <v>15</v>
      </c>
      <c r="C4" t="s">
        <v>13</v>
      </c>
      <c r="D4">
        <v>17</v>
      </c>
      <c r="E4">
        <v>21478</v>
      </c>
      <c r="F4">
        <v>21261</v>
      </c>
      <c r="G4" t="s">
        <v>10</v>
      </c>
    </row>
    <row r="5" spans="1:7" x14ac:dyDescent="0.3">
      <c r="A5" t="s">
        <v>16</v>
      </c>
      <c r="B5" t="s">
        <v>17</v>
      </c>
      <c r="C5" t="s">
        <v>9</v>
      </c>
      <c r="D5">
        <v>19</v>
      </c>
      <c r="E5">
        <v>23568</v>
      </c>
      <c r="F5">
        <v>10881</v>
      </c>
      <c r="G5" t="s">
        <v>10</v>
      </c>
    </row>
    <row r="6" spans="1:7" x14ac:dyDescent="0.3">
      <c r="A6" t="s">
        <v>18</v>
      </c>
      <c r="B6" t="s">
        <v>19</v>
      </c>
      <c r="C6" t="s">
        <v>13</v>
      </c>
      <c r="D6">
        <v>7</v>
      </c>
      <c r="E6">
        <v>17970</v>
      </c>
      <c r="F6">
        <v>19518</v>
      </c>
      <c r="G6" t="s">
        <v>10</v>
      </c>
    </row>
    <row r="7" spans="1:7" x14ac:dyDescent="0.3">
      <c r="A7" t="s">
        <v>20</v>
      </c>
      <c r="B7" t="s">
        <v>21</v>
      </c>
      <c r="C7" t="s">
        <v>22</v>
      </c>
      <c r="D7">
        <v>15</v>
      </c>
      <c r="E7">
        <v>27435</v>
      </c>
      <c r="F7">
        <v>15876</v>
      </c>
      <c r="G7" t="s">
        <v>10</v>
      </c>
    </row>
    <row r="8" spans="1:7" x14ac:dyDescent="0.3">
      <c r="A8" t="s">
        <v>23</v>
      </c>
      <c r="B8" t="s">
        <v>17</v>
      </c>
      <c r="C8" t="s">
        <v>13</v>
      </c>
      <c r="D8">
        <v>6</v>
      </c>
      <c r="E8">
        <v>21328</v>
      </c>
      <c r="F8">
        <v>23505</v>
      </c>
      <c r="G8" t="s">
        <v>10</v>
      </c>
    </row>
    <row r="9" spans="1:7" x14ac:dyDescent="0.3">
      <c r="A9" t="s">
        <v>24</v>
      </c>
      <c r="B9" t="s">
        <v>25</v>
      </c>
      <c r="C9" t="s">
        <v>22</v>
      </c>
      <c r="D9">
        <v>12</v>
      </c>
      <c r="E9">
        <v>10339</v>
      </c>
      <c r="F9">
        <v>11807</v>
      </c>
      <c r="G9" t="s">
        <v>26</v>
      </c>
    </row>
    <row r="10" spans="1:7" x14ac:dyDescent="0.3">
      <c r="A10" t="s">
        <v>24</v>
      </c>
      <c r="B10" t="s">
        <v>27</v>
      </c>
      <c r="C10" t="s">
        <v>13</v>
      </c>
      <c r="D10">
        <v>22</v>
      </c>
      <c r="E10">
        <v>10246</v>
      </c>
      <c r="F10">
        <v>14905</v>
      </c>
      <c r="G10" t="s">
        <v>10</v>
      </c>
    </row>
    <row r="11" spans="1:7" x14ac:dyDescent="0.3">
      <c r="A11" t="s">
        <v>28</v>
      </c>
      <c r="B11" t="s">
        <v>29</v>
      </c>
      <c r="C11" t="s">
        <v>22</v>
      </c>
      <c r="D11">
        <v>8</v>
      </c>
      <c r="E11">
        <v>19174</v>
      </c>
      <c r="F11">
        <v>11612</v>
      </c>
      <c r="G11" t="s">
        <v>10</v>
      </c>
    </row>
    <row r="12" spans="1:7" x14ac:dyDescent="0.3">
      <c r="A12" t="s">
        <v>30</v>
      </c>
      <c r="B12" t="s">
        <v>31</v>
      </c>
      <c r="C12" t="s">
        <v>22</v>
      </c>
      <c r="D12">
        <v>20</v>
      </c>
      <c r="E12">
        <v>26130</v>
      </c>
      <c r="F12">
        <v>12839</v>
      </c>
      <c r="G12" t="s">
        <v>26</v>
      </c>
    </row>
    <row r="13" spans="1:7" x14ac:dyDescent="0.3">
      <c r="A13" t="s">
        <v>32</v>
      </c>
      <c r="B13" t="s">
        <v>33</v>
      </c>
      <c r="C13" t="s">
        <v>13</v>
      </c>
      <c r="D13">
        <v>9</v>
      </c>
      <c r="E13">
        <v>20324</v>
      </c>
      <c r="F13">
        <v>21882</v>
      </c>
      <c r="G13" t="s">
        <v>10</v>
      </c>
    </row>
    <row r="14" spans="1:7" x14ac:dyDescent="0.3">
      <c r="A14" t="s">
        <v>34</v>
      </c>
      <c r="B14" t="s">
        <v>35</v>
      </c>
      <c r="C14" t="s">
        <v>13</v>
      </c>
      <c r="D14">
        <v>15</v>
      </c>
      <c r="E14">
        <v>27192</v>
      </c>
      <c r="F14">
        <v>23097</v>
      </c>
      <c r="G14" t="s">
        <v>10</v>
      </c>
    </row>
    <row r="15" spans="1:7" x14ac:dyDescent="0.3">
      <c r="A15" t="s">
        <v>36</v>
      </c>
      <c r="B15" t="s">
        <v>37</v>
      </c>
      <c r="C15" t="s">
        <v>13</v>
      </c>
      <c r="D15">
        <v>10</v>
      </c>
      <c r="E15">
        <v>8623</v>
      </c>
      <c r="F15">
        <v>23467</v>
      </c>
      <c r="G15" t="s">
        <v>10</v>
      </c>
    </row>
    <row r="16" spans="1:7" x14ac:dyDescent="0.3">
      <c r="A16" t="s">
        <v>38</v>
      </c>
      <c r="B16" t="s">
        <v>33</v>
      </c>
      <c r="C16" t="s">
        <v>22</v>
      </c>
      <c r="D16">
        <v>6</v>
      </c>
      <c r="E16">
        <v>5936</v>
      </c>
      <c r="F16">
        <v>20868</v>
      </c>
      <c r="G16" t="s">
        <v>10</v>
      </c>
    </row>
    <row r="17" spans="1:7" x14ac:dyDescent="0.3">
      <c r="A17" t="s">
        <v>39</v>
      </c>
      <c r="B17" t="s">
        <v>40</v>
      </c>
      <c r="C17" t="s">
        <v>9</v>
      </c>
      <c r="D17">
        <v>10</v>
      </c>
      <c r="E17">
        <v>27674</v>
      </c>
      <c r="F17">
        <v>17314</v>
      </c>
      <c r="G17" t="s">
        <v>10</v>
      </c>
    </row>
    <row r="18" spans="1:7" x14ac:dyDescent="0.3">
      <c r="A18" t="s">
        <v>41</v>
      </c>
      <c r="B18" t="s">
        <v>42</v>
      </c>
      <c r="C18" t="s">
        <v>13</v>
      </c>
      <c r="D18">
        <v>14</v>
      </c>
      <c r="E18">
        <v>8756</v>
      </c>
      <c r="F18">
        <v>11579</v>
      </c>
      <c r="G18" t="s">
        <v>26</v>
      </c>
    </row>
    <row r="19" spans="1:7" x14ac:dyDescent="0.3">
      <c r="A19" t="s">
        <v>43</v>
      </c>
      <c r="B19" t="s">
        <v>33</v>
      </c>
      <c r="C19" t="s">
        <v>22</v>
      </c>
      <c r="D19">
        <v>20</v>
      </c>
      <c r="E19">
        <v>14252</v>
      </c>
      <c r="F19">
        <v>24458</v>
      </c>
      <c r="G19" t="s">
        <v>10</v>
      </c>
    </row>
    <row r="20" spans="1:7" x14ac:dyDescent="0.3">
      <c r="A20" t="s">
        <v>44</v>
      </c>
      <c r="B20" t="s">
        <v>27</v>
      </c>
      <c r="C20" t="s">
        <v>9</v>
      </c>
      <c r="D20">
        <v>19</v>
      </c>
      <c r="E20">
        <v>14837</v>
      </c>
      <c r="F20">
        <v>17276</v>
      </c>
      <c r="G20" t="s">
        <v>10</v>
      </c>
    </row>
    <row r="21" spans="1:7" x14ac:dyDescent="0.3">
      <c r="A21" t="s">
        <v>45</v>
      </c>
      <c r="B21" t="s">
        <v>46</v>
      </c>
      <c r="C21" t="s">
        <v>9</v>
      </c>
      <c r="D21">
        <v>17</v>
      </c>
      <c r="E21">
        <v>10948</v>
      </c>
      <c r="F21">
        <v>21515</v>
      </c>
      <c r="G21" t="s">
        <v>10</v>
      </c>
    </row>
    <row r="22" spans="1:7" x14ac:dyDescent="0.3">
      <c r="A22" t="s">
        <v>47</v>
      </c>
      <c r="B22" t="s">
        <v>48</v>
      </c>
      <c r="C22" t="s">
        <v>22</v>
      </c>
      <c r="D22">
        <v>14</v>
      </c>
      <c r="E22">
        <v>27405</v>
      </c>
      <c r="F22">
        <v>19588</v>
      </c>
      <c r="G22" t="s">
        <v>10</v>
      </c>
    </row>
    <row r="23" spans="1:7" x14ac:dyDescent="0.3">
      <c r="A23" t="s">
        <v>49</v>
      </c>
      <c r="B23" t="s">
        <v>50</v>
      </c>
      <c r="C23" t="s">
        <v>9</v>
      </c>
      <c r="D23">
        <v>7</v>
      </c>
      <c r="E23">
        <v>28639</v>
      </c>
      <c r="F23">
        <v>16499</v>
      </c>
      <c r="G23" t="s">
        <v>10</v>
      </c>
    </row>
    <row r="24" spans="1:7" x14ac:dyDescent="0.3">
      <c r="A24" t="s">
        <v>51</v>
      </c>
      <c r="B24" t="s">
        <v>52</v>
      </c>
      <c r="C24" t="s">
        <v>13</v>
      </c>
      <c r="D24">
        <v>6</v>
      </c>
      <c r="E24">
        <v>23952</v>
      </c>
      <c r="F24">
        <v>12581</v>
      </c>
      <c r="G24" t="s">
        <v>10</v>
      </c>
    </row>
    <row r="25" spans="1:7" x14ac:dyDescent="0.3">
      <c r="A25" t="s">
        <v>53</v>
      </c>
      <c r="B25" t="s">
        <v>21</v>
      </c>
      <c r="C25" t="s">
        <v>22</v>
      </c>
      <c r="D25">
        <v>22</v>
      </c>
      <c r="E25">
        <v>24467</v>
      </c>
      <c r="F25">
        <v>23518</v>
      </c>
      <c r="G25" t="s">
        <v>10</v>
      </c>
    </row>
    <row r="26" spans="1:7" x14ac:dyDescent="0.3">
      <c r="A26" t="s">
        <v>28</v>
      </c>
      <c r="B26" t="s">
        <v>54</v>
      </c>
      <c r="C26" t="s">
        <v>13</v>
      </c>
      <c r="D26">
        <v>12</v>
      </c>
      <c r="E26">
        <v>5277</v>
      </c>
      <c r="F26">
        <v>17936</v>
      </c>
      <c r="G26" t="s">
        <v>10</v>
      </c>
    </row>
    <row r="27" spans="1:7" x14ac:dyDescent="0.3">
      <c r="A27" t="s">
        <v>55</v>
      </c>
      <c r="B27" t="s">
        <v>56</v>
      </c>
      <c r="C27" t="s">
        <v>22</v>
      </c>
      <c r="D27">
        <v>24</v>
      </c>
      <c r="E27">
        <v>6673</v>
      </c>
      <c r="F27">
        <v>24855</v>
      </c>
      <c r="G27" t="s">
        <v>10</v>
      </c>
    </row>
    <row r="28" spans="1:7" x14ac:dyDescent="0.3">
      <c r="A28" t="s">
        <v>57</v>
      </c>
      <c r="B28" t="s">
        <v>8</v>
      </c>
      <c r="C28" t="s">
        <v>22</v>
      </c>
      <c r="D28">
        <v>8</v>
      </c>
      <c r="E28">
        <v>8222</v>
      </c>
      <c r="F28">
        <v>10541</v>
      </c>
      <c r="G28" t="s">
        <v>10</v>
      </c>
    </row>
    <row r="29" spans="1:7" x14ac:dyDescent="0.3">
      <c r="A29" t="s">
        <v>58</v>
      </c>
      <c r="B29" t="s">
        <v>17</v>
      </c>
      <c r="C29" t="s">
        <v>9</v>
      </c>
      <c r="D29">
        <v>11</v>
      </c>
      <c r="E29">
        <v>22525</v>
      </c>
      <c r="F29">
        <v>18955</v>
      </c>
      <c r="G29" t="s">
        <v>10</v>
      </c>
    </row>
    <row r="30" spans="1:7" x14ac:dyDescent="0.3">
      <c r="A30" t="s">
        <v>59</v>
      </c>
      <c r="B30" t="s">
        <v>54</v>
      </c>
      <c r="C30" t="s">
        <v>22</v>
      </c>
      <c r="D30">
        <v>16</v>
      </c>
      <c r="E30">
        <v>28530</v>
      </c>
      <c r="F30">
        <v>16018</v>
      </c>
      <c r="G30" t="s">
        <v>26</v>
      </c>
    </row>
    <row r="31" spans="1:7" x14ac:dyDescent="0.3">
      <c r="A31" t="s">
        <v>57</v>
      </c>
      <c r="B31" t="s">
        <v>15</v>
      </c>
      <c r="C31" t="s">
        <v>9</v>
      </c>
      <c r="D31">
        <v>23</v>
      </c>
      <c r="E31">
        <v>15393</v>
      </c>
      <c r="F31">
        <v>17092</v>
      </c>
      <c r="G31" t="s">
        <v>10</v>
      </c>
    </row>
    <row r="32" spans="1:7" x14ac:dyDescent="0.3">
      <c r="A32" t="s">
        <v>60</v>
      </c>
      <c r="B32" t="s">
        <v>29</v>
      </c>
      <c r="C32" t="s">
        <v>13</v>
      </c>
      <c r="D32">
        <v>18</v>
      </c>
      <c r="E32">
        <v>28077</v>
      </c>
      <c r="F32">
        <v>12397</v>
      </c>
      <c r="G32" t="s">
        <v>10</v>
      </c>
    </row>
    <row r="33" spans="1:7" x14ac:dyDescent="0.3">
      <c r="A33" t="s">
        <v>61</v>
      </c>
      <c r="B33" t="s">
        <v>25</v>
      </c>
      <c r="C33" t="s">
        <v>22</v>
      </c>
      <c r="D33">
        <v>23</v>
      </c>
      <c r="E33">
        <v>25414</v>
      </c>
      <c r="F33">
        <v>20558</v>
      </c>
      <c r="G33" t="s">
        <v>10</v>
      </c>
    </row>
    <row r="34" spans="1:7" x14ac:dyDescent="0.3">
      <c r="A34" t="s">
        <v>62</v>
      </c>
      <c r="B34" t="s">
        <v>37</v>
      </c>
      <c r="C34" t="s">
        <v>13</v>
      </c>
      <c r="D34">
        <v>24</v>
      </c>
      <c r="E34">
        <v>13226</v>
      </c>
      <c r="F34">
        <v>10517</v>
      </c>
      <c r="G34" t="s">
        <v>10</v>
      </c>
    </row>
    <row r="35" spans="1:7" x14ac:dyDescent="0.3">
      <c r="A35" t="s">
        <v>63</v>
      </c>
      <c r="B35" t="s">
        <v>64</v>
      </c>
      <c r="C35" t="s">
        <v>9</v>
      </c>
      <c r="D35">
        <v>16</v>
      </c>
      <c r="E35">
        <v>11736</v>
      </c>
      <c r="F35">
        <v>12531</v>
      </c>
      <c r="G35" t="s">
        <v>10</v>
      </c>
    </row>
    <row r="36" spans="1:7" x14ac:dyDescent="0.3">
      <c r="A36" t="s">
        <v>65</v>
      </c>
      <c r="B36" t="s">
        <v>17</v>
      </c>
      <c r="C36" t="s">
        <v>9</v>
      </c>
      <c r="D36">
        <v>9</v>
      </c>
      <c r="E36">
        <v>5452</v>
      </c>
      <c r="F36">
        <v>10980</v>
      </c>
      <c r="G36" t="s">
        <v>10</v>
      </c>
    </row>
    <row r="37" spans="1:7" x14ac:dyDescent="0.3">
      <c r="A37" t="s">
        <v>66</v>
      </c>
      <c r="B37" t="s">
        <v>67</v>
      </c>
      <c r="C37" t="s">
        <v>13</v>
      </c>
      <c r="D37">
        <v>16</v>
      </c>
      <c r="E37">
        <v>29055</v>
      </c>
      <c r="F37">
        <v>20970</v>
      </c>
      <c r="G37" t="s">
        <v>10</v>
      </c>
    </row>
    <row r="38" spans="1:7" x14ac:dyDescent="0.3">
      <c r="A38" t="s">
        <v>68</v>
      </c>
      <c r="B38" t="s">
        <v>69</v>
      </c>
      <c r="C38" t="s">
        <v>9</v>
      </c>
      <c r="D38">
        <v>5</v>
      </c>
      <c r="E38">
        <v>28351</v>
      </c>
      <c r="F38">
        <v>12708</v>
      </c>
      <c r="G38" t="s">
        <v>10</v>
      </c>
    </row>
    <row r="39" spans="1:7" x14ac:dyDescent="0.3">
      <c r="A39" t="s">
        <v>70</v>
      </c>
      <c r="B39" t="s">
        <v>33</v>
      </c>
      <c r="C39" t="s">
        <v>9</v>
      </c>
      <c r="D39">
        <v>11</v>
      </c>
      <c r="E39">
        <v>10574</v>
      </c>
      <c r="F39">
        <v>15599</v>
      </c>
      <c r="G39" t="s">
        <v>26</v>
      </c>
    </row>
    <row r="40" spans="1:7" x14ac:dyDescent="0.3">
      <c r="A40" t="s">
        <v>71</v>
      </c>
      <c r="B40" t="s">
        <v>52</v>
      </c>
      <c r="C40" t="s">
        <v>9</v>
      </c>
      <c r="D40">
        <v>25</v>
      </c>
      <c r="E40">
        <v>10711</v>
      </c>
      <c r="F40">
        <v>15468</v>
      </c>
      <c r="G40" t="s">
        <v>10</v>
      </c>
    </row>
    <row r="41" spans="1:7" x14ac:dyDescent="0.3">
      <c r="A41" t="s">
        <v>72</v>
      </c>
      <c r="B41" t="s">
        <v>73</v>
      </c>
      <c r="C41" t="s">
        <v>9</v>
      </c>
      <c r="D41">
        <v>14</v>
      </c>
      <c r="E41">
        <v>25604</v>
      </c>
      <c r="F41">
        <v>17850</v>
      </c>
      <c r="G41" t="s">
        <v>10</v>
      </c>
    </row>
    <row r="42" spans="1:7" x14ac:dyDescent="0.3">
      <c r="A42" t="s">
        <v>74</v>
      </c>
      <c r="B42" t="s">
        <v>75</v>
      </c>
      <c r="C42" t="s">
        <v>22</v>
      </c>
      <c r="D42">
        <v>13</v>
      </c>
      <c r="E42">
        <v>14623</v>
      </c>
      <c r="F42">
        <v>13683</v>
      </c>
      <c r="G42" t="s">
        <v>10</v>
      </c>
    </row>
    <row r="43" spans="1:7" x14ac:dyDescent="0.3">
      <c r="A43" t="s">
        <v>76</v>
      </c>
      <c r="B43" t="s">
        <v>40</v>
      </c>
      <c r="C43" t="s">
        <v>22</v>
      </c>
      <c r="D43">
        <v>16</v>
      </c>
      <c r="E43">
        <v>12582</v>
      </c>
      <c r="F43">
        <v>24769</v>
      </c>
      <c r="G43" t="s">
        <v>10</v>
      </c>
    </row>
    <row r="44" spans="1:7" x14ac:dyDescent="0.3">
      <c r="A44" t="s">
        <v>77</v>
      </c>
      <c r="B44" t="s">
        <v>40</v>
      </c>
      <c r="C44" t="s">
        <v>22</v>
      </c>
      <c r="D44">
        <v>24</v>
      </c>
      <c r="E44">
        <v>22409</v>
      </c>
      <c r="F44">
        <v>20924</v>
      </c>
      <c r="G44" t="s">
        <v>10</v>
      </c>
    </row>
    <row r="45" spans="1:7" x14ac:dyDescent="0.3">
      <c r="A45" t="s">
        <v>43</v>
      </c>
      <c r="B45" t="s">
        <v>52</v>
      </c>
      <c r="C45" t="s">
        <v>9</v>
      </c>
      <c r="D45">
        <v>22</v>
      </c>
      <c r="E45">
        <v>29044</v>
      </c>
      <c r="F45">
        <v>10517</v>
      </c>
      <c r="G45" t="s">
        <v>10</v>
      </c>
    </row>
    <row r="46" spans="1:7" x14ac:dyDescent="0.3">
      <c r="A46" t="s">
        <v>78</v>
      </c>
      <c r="B46" t="s">
        <v>79</v>
      </c>
      <c r="C46" t="s">
        <v>13</v>
      </c>
      <c r="D46">
        <v>25</v>
      </c>
      <c r="E46">
        <v>11671</v>
      </c>
      <c r="F46">
        <v>13395</v>
      </c>
      <c r="G46" t="s">
        <v>10</v>
      </c>
    </row>
    <row r="47" spans="1:7" x14ac:dyDescent="0.3">
      <c r="A47" t="s">
        <v>80</v>
      </c>
      <c r="B47" t="s">
        <v>75</v>
      </c>
      <c r="C47" t="s">
        <v>13</v>
      </c>
      <c r="D47">
        <v>9</v>
      </c>
      <c r="E47">
        <v>23626</v>
      </c>
      <c r="F47">
        <v>18851</v>
      </c>
      <c r="G47" t="s">
        <v>10</v>
      </c>
    </row>
    <row r="48" spans="1:7" x14ac:dyDescent="0.3">
      <c r="A48" t="s">
        <v>81</v>
      </c>
      <c r="B48" t="s">
        <v>29</v>
      </c>
      <c r="C48" t="s">
        <v>22</v>
      </c>
      <c r="D48">
        <v>14</v>
      </c>
      <c r="E48">
        <v>7824</v>
      </c>
      <c r="F48">
        <v>15215</v>
      </c>
      <c r="G48" t="s">
        <v>10</v>
      </c>
    </row>
    <row r="49" spans="1:7" x14ac:dyDescent="0.3">
      <c r="A49" t="s">
        <v>82</v>
      </c>
      <c r="B49" t="s">
        <v>50</v>
      </c>
      <c r="C49" t="s">
        <v>9</v>
      </c>
      <c r="D49">
        <v>17</v>
      </c>
      <c r="E49">
        <v>25031</v>
      </c>
      <c r="F49">
        <v>13147</v>
      </c>
      <c r="G49" t="s">
        <v>10</v>
      </c>
    </row>
    <row r="50" spans="1:7" x14ac:dyDescent="0.3">
      <c r="A50" t="s">
        <v>83</v>
      </c>
      <c r="B50" t="s">
        <v>54</v>
      </c>
      <c r="C50" t="s">
        <v>13</v>
      </c>
      <c r="D50">
        <v>25</v>
      </c>
      <c r="E50">
        <v>15641</v>
      </c>
      <c r="F50">
        <v>18608</v>
      </c>
      <c r="G50" t="s">
        <v>10</v>
      </c>
    </row>
    <row r="51" spans="1:7" x14ac:dyDescent="0.3">
      <c r="A51" t="s">
        <v>84</v>
      </c>
      <c r="B51" t="s">
        <v>37</v>
      </c>
      <c r="C51" t="s">
        <v>22</v>
      </c>
      <c r="D51">
        <v>24</v>
      </c>
      <c r="E51">
        <v>29910</v>
      </c>
      <c r="F51">
        <v>18069</v>
      </c>
      <c r="G51" t="s">
        <v>10</v>
      </c>
    </row>
    <row r="52" spans="1:7" x14ac:dyDescent="0.3">
      <c r="A52" t="s">
        <v>85</v>
      </c>
      <c r="B52" t="s">
        <v>73</v>
      </c>
      <c r="C52" t="s">
        <v>9</v>
      </c>
      <c r="D52">
        <v>18</v>
      </c>
      <c r="E52">
        <v>15633</v>
      </c>
      <c r="F52">
        <v>10198</v>
      </c>
      <c r="G52" t="s">
        <v>10</v>
      </c>
    </row>
    <row r="53" spans="1:7" x14ac:dyDescent="0.3">
      <c r="A53" t="s">
        <v>86</v>
      </c>
      <c r="B53" t="s">
        <v>42</v>
      </c>
      <c r="C53" t="s">
        <v>13</v>
      </c>
      <c r="D53">
        <v>12</v>
      </c>
      <c r="E53">
        <v>24223</v>
      </c>
      <c r="F53">
        <v>20446</v>
      </c>
      <c r="G53" t="s">
        <v>10</v>
      </c>
    </row>
    <row r="54" spans="1:7" x14ac:dyDescent="0.3">
      <c r="A54" t="s">
        <v>87</v>
      </c>
      <c r="B54" t="s">
        <v>37</v>
      </c>
      <c r="C54" t="s">
        <v>13</v>
      </c>
      <c r="D54">
        <v>9</v>
      </c>
      <c r="E54">
        <v>10631</v>
      </c>
      <c r="F54">
        <v>14980</v>
      </c>
      <c r="G54" t="s">
        <v>10</v>
      </c>
    </row>
    <row r="55" spans="1:7" x14ac:dyDescent="0.3">
      <c r="A55" t="s">
        <v>88</v>
      </c>
      <c r="B55" t="s">
        <v>12</v>
      </c>
      <c r="C55" t="s">
        <v>13</v>
      </c>
      <c r="D55">
        <v>6</v>
      </c>
      <c r="E55">
        <v>9809</v>
      </c>
      <c r="F55">
        <v>21700</v>
      </c>
      <c r="G55" t="s">
        <v>10</v>
      </c>
    </row>
    <row r="56" spans="1:7" x14ac:dyDescent="0.3">
      <c r="A56" t="s">
        <v>89</v>
      </c>
      <c r="B56" t="s">
        <v>46</v>
      </c>
      <c r="C56" t="s">
        <v>9</v>
      </c>
      <c r="D56">
        <v>10</v>
      </c>
      <c r="E56">
        <v>22425</v>
      </c>
      <c r="F56">
        <v>24803</v>
      </c>
      <c r="G56" t="s">
        <v>10</v>
      </c>
    </row>
    <row r="57" spans="1:7" x14ac:dyDescent="0.3">
      <c r="A57" t="s">
        <v>90</v>
      </c>
      <c r="B57" t="s">
        <v>35</v>
      </c>
      <c r="C57" t="s">
        <v>13</v>
      </c>
      <c r="D57">
        <v>17</v>
      </c>
      <c r="E57">
        <v>20824</v>
      </c>
      <c r="F57">
        <v>10769</v>
      </c>
      <c r="G57" t="s">
        <v>26</v>
      </c>
    </row>
    <row r="58" spans="1:7" x14ac:dyDescent="0.3">
      <c r="A58" t="s">
        <v>82</v>
      </c>
      <c r="B58" t="s">
        <v>75</v>
      </c>
      <c r="C58" t="s">
        <v>9</v>
      </c>
      <c r="D58">
        <v>11</v>
      </c>
      <c r="E58">
        <v>7988</v>
      </c>
      <c r="F58">
        <v>21840</v>
      </c>
      <c r="G58" t="s">
        <v>10</v>
      </c>
    </row>
    <row r="59" spans="1:7" x14ac:dyDescent="0.3">
      <c r="A59" t="s">
        <v>91</v>
      </c>
      <c r="B59" t="s">
        <v>92</v>
      </c>
      <c r="C59" t="s">
        <v>9</v>
      </c>
      <c r="D59">
        <v>13</v>
      </c>
      <c r="E59">
        <v>14575</v>
      </c>
      <c r="F59">
        <v>24859</v>
      </c>
      <c r="G59" t="s">
        <v>10</v>
      </c>
    </row>
    <row r="60" spans="1:7" x14ac:dyDescent="0.3">
      <c r="A60" t="s">
        <v>65</v>
      </c>
      <c r="B60" t="s">
        <v>73</v>
      </c>
      <c r="C60" t="s">
        <v>9</v>
      </c>
      <c r="D60">
        <v>24</v>
      </c>
      <c r="E60">
        <v>19687</v>
      </c>
      <c r="F60">
        <v>22753</v>
      </c>
      <c r="G60" t="s">
        <v>10</v>
      </c>
    </row>
    <row r="61" spans="1:7" x14ac:dyDescent="0.3">
      <c r="A61" t="s">
        <v>93</v>
      </c>
      <c r="B61" t="s">
        <v>27</v>
      </c>
      <c r="C61" t="s">
        <v>22</v>
      </c>
      <c r="D61">
        <v>22</v>
      </c>
      <c r="E61">
        <v>20640</v>
      </c>
      <c r="F61">
        <v>17788</v>
      </c>
      <c r="G61" t="s">
        <v>10</v>
      </c>
    </row>
    <row r="62" spans="1:7" x14ac:dyDescent="0.3">
      <c r="A62" t="s">
        <v>41</v>
      </c>
      <c r="B62" t="s">
        <v>56</v>
      </c>
      <c r="C62" t="s">
        <v>13</v>
      </c>
      <c r="D62">
        <v>21</v>
      </c>
      <c r="E62">
        <v>14063</v>
      </c>
      <c r="F62">
        <v>19286</v>
      </c>
      <c r="G62" t="s">
        <v>10</v>
      </c>
    </row>
    <row r="63" spans="1:7" x14ac:dyDescent="0.3">
      <c r="A63" t="s">
        <v>94</v>
      </c>
      <c r="B63" t="s">
        <v>35</v>
      </c>
      <c r="C63" t="s">
        <v>9</v>
      </c>
      <c r="D63">
        <v>17</v>
      </c>
      <c r="E63">
        <v>23640</v>
      </c>
      <c r="F63">
        <v>24540</v>
      </c>
      <c r="G63" t="s">
        <v>10</v>
      </c>
    </row>
    <row r="64" spans="1:7" x14ac:dyDescent="0.3">
      <c r="A64" t="s">
        <v>95</v>
      </c>
      <c r="B64" t="s">
        <v>69</v>
      </c>
      <c r="C64" t="s">
        <v>22</v>
      </c>
      <c r="D64">
        <v>16</v>
      </c>
      <c r="E64">
        <v>26782</v>
      </c>
      <c r="F64">
        <v>10764</v>
      </c>
      <c r="G64" t="s">
        <v>10</v>
      </c>
    </row>
    <row r="65" spans="1:7" x14ac:dyDescent="0.3">
      <c r="A65" t="s">
        <v>96</v>
      </c>
      <c r="B65" t="s">
        <v>31</v>
      </c>
      <c r="C65" t="s">
        <v>13</v>
      </c>
      <c r="D65">
        <v>24</v>
      </c>
      <c r="E65">
        <v>22340</v>
      </c>
      <c r="F65">
        <v>22619</v>
      </c>
      <c r="G65" t="s">
        <v>10</v>
      </c>
    </row>
    <row r="66" spans="1:7" x14ac:dyDescent="0.3">
      <c r="A66" t="s">
        <v>97</v>
      </c>
      <c r="B66" t="s">
        <v>48</v>
      </c>
      <c r="C66" t="s">
        <v>9</v>
      </c>
      <c r="D66">
        <v>19</v>
      </c>
      <c r="E66">
        <v>9924</v>
      </c>
      <c r="F66">
        <v>21447</v>
      </c>
      <c r="G66" t="s">
        <v>10</v>
      </c>
    </row>
    <row r="67" spans="1:7" x14ac:dyDescent="0.3">
      <c r="A67" t="s">
        <v>98</v>
      </c>
      <c r="B67" t="s">
        <v>42</v>
      </c>
      <c r="C67" t="s">
        <v>9</v>
      </c>
      <c r="D67">
        <v>23</v>
      </c>
      <c r="E67">
        <v>17800</v>
      </c>
      <c r="F67">
        <v>12906</v>
      </c>
      <c r="G67" t="s">
        <v>10</v>
      </c>
    </row>
    <row r="68" spans="1:7" x14ac:dyDescent="0.3">
      <c r="A68" t="s">
        <v>99</v>
      </c>
      <c r="B68" t="s">
        <v>79</v>
      </c>
      <c r="C68" t="s">
        <v>22</v>
      </c>
      <c r="D68">
        <v>22</v>
      </c>
      <c r="E68">
        <v>22818</v>
      </c>
      <c r="F68">
        <v>24569</v>
      </c>
      <c r="G68" t="s">
        <v>10</v>
      </c>
    </row>
    <row r="69" spans="1:7" x14ac:dyDescent="0.3">
      <c r="A69" t="s">
        <v>100</v>
      </c>
      <c r="B69" t="s">
        <v>101</v>
      </c>
      <c r="C69" t="s">
        <v>9</v>
      </c>
      <c r="D69">
        <v>16</v>
      </c>
      <c r="E69">
        <v>10168</v>
      </c>
      <c r="F69">
        <v>15247</v>
      </c>
      <c r="G69" t="s">
        <v>10</v>
      </c>
    </row>
    <row r="70" spans="1:7" x14ac:dyDescent="0.3">
      <c r="A70" t="s">
        <v>102</v>
      </c>
      <c r="B70" t="s">
        <v>12</v>
      </c>
      <c r="C70" t="s">
        <v>22</v>
      </c>
      <c r="D70">
        <v>21</v>
      </c>
      <c r="E70">
        <v>14747</v>
      </c>
      <c r="F70">
        <v>21424</v>
      </c>
      <c r="G70" t="s">
        <v>10</v>
      </c>
    </row>
    <row r="71" spans="1:7" x14ac:dyDescent="0.3">
      <c r="A71" t="s">
        <v>85</v>
      </c>
      <c r="B71" t="s">
        <v>79</v>
      </c>
      <c r="C71" t="s">
        <v>22</v>
      </c>
      <c r="D71">
        <v>13</v>
      </c>
      <c r="E71">
        <v>20979</v>
      </c>
      <c r="F71">
        <v>10796</v>
      </c>
      <c r="G71" t="s">
        <v>10</v>
      </c>
    </row>
    <row r="72" spans="1:7" x14ac:dyDescent="0.3">
      <c r="A72" t="s">
        <v>60</v>
      </c>
      <c r="B72" t="s">
        <v>101</v>
      </c>
      <c r="C72" t="s">
        <v>22</v>
      </c>
      <c r="D72">
        <v>20</v>
      </c>
      <c r="E72">
        <v>10094</v>
      </c>
      <c r="F72">
        <v>14978</v>
      </c>
      <c r="G72" t="s">
        <v>10</v>
      </c>
    </row>
    <row r="73" spans="1:7" x14ac:dyDescent="0.3">
      <c r="A73" t="s">
        <v>103</v>
      </c>
      <c r="B73" t="s">
        <v>17</v>
      </c>
      <c r="C73" t="s">
        <v>13</v>
      </c>
      <c r="D73">
        <v>6</v>
      </c>
      <c r="E73">
        <v>27960</v>
      </c>
      <c r="F73">
        <v>11277</v>
      </c>
      <c r="G73" t="s">
        <v>10</v>
      </c>
    </row>
    <row r="74" spans="1:7" x14ac:dyDescent="0.3">
      <c r="A74" t="s">
        <v>60</v>
      </c>
      <c r="B74" t="s">
        <v>75</v>
      </c>
      <c r="C74" t="s">
        <v>13</v>
      </c>
      <c r="D74">
        <v>10</v>
      </c>
      <c r="E74">
        <v>26022</v>
      </c>
      <c r="F74">
        <v>16562</v>
      </c>
      <c r="G74" t="s">
        <v>10</v>
      </c>
    </row>
    <row r="75" spans="1:7" x14ac:dyDescent="0.3">
      <c r="A75" t="s">
        <v>72</v>
      </c>
      <c r="B75" t="s">
        <v>48</v>
      </c>
      <c r="C75" t="s">
        <v>9</v>
      </c>
      <c r="D75">
        <v>5</v>
      </c>
      <c r="E75">
        <v>5303</v>
      </c>
      <c r="F75">
        <v>10219</v>
      </c>
      <c r="G75" t="s">
        <v>10</v>
      </c>
    </row>
    <row r="76" spans="1:7" x14ac:dyDescent="0.3">
      <c r="A76" t="s">
        <v>104</v>
      </c>
      <c r="B76" t="s">
        <v>46</v>
      </c>
      <c r="C76" t="s">
        <v>9</v>
      </c>
      <c r="D76">
        <v>23</v>
      </c>
      <c r="E76">
        <v>20465</v>
      </c>
      <c r="F76">
        <v>14404</v>
      </c>
      <c r="G76" t="s">
        <v>10</v>
      </c>
    </row>
    <row r="77" spans="1:7" x14ac:dyDescent="0.3">
      <c r="A77" t="s">
        <v>105</v>
      </c>
      <c r="B77" t="s">
        <v>50</v>
      </c>
      <c r="C77" t="s">
        <v>22</v>
      </c>
      <c r="D77">
        <v>6</v>
      </c>
      <c r="E77">
        <v>11987</v>
      </c>
      <c r="F77">
        <v>23374</v>
      </c>
      <c r="G77" t="s">
        <v>10</v>
      </c>
    </row>
    <row r="78" spans="1:7" x14ac:dyDescent="0.3">
      <c r="A78" t="s">
        <v>106</v>
      </c>
      <c r="B78" t="s">
        <v>31</v>
      </c>
      <c r="C78" t="s">
        <v>9</v>
      </c>
      <c r="D78">
        <v>20</v>
      </c>
      <c r="E78">
        <v>13610</v>
      </c>
      <c r="F78">
        <v>12468</v>
      </c>
      <c r="G78" t="s">
        <v>10</v>
      </c>
    </row>
    <row r="79" spans="1:7" x14ac:dyDescent="0.3">
      <c r="A79" t="s">
        <v>107</v>
      </c>
      <c r="B79" t="s">
        <v>46</v>
      </c>
      <c r="C79" t="s">
        <v>22</v>
      </c>
      <c r="D79">
        <v>8</v>
      </c>
      <c r="E79">
        <v>28283</v>
      </c>
      <c r="F79">
        <v>19340</v>
      </c>
      <c r="G79" t="s">
        <v>10</v>
      </c>
    </row>
    <row r="80" spans="1:7" x14ac:dyDescent="0.3">
      <c r="A80" t="s">
        <v>61</v>
      </c>
      <c r="B80" t="s">
        <v>40</v>
      </c>
      <c r="C80" t="s">
        <v>22</v>
      </c>
      <c r="D80">
        <v>16</v>
      </c>
      <c r="E80">
        <v>7916</v>
      </c>
      <c r="F80">
        <v>10707</v>
      </c>
      <c r="G80" t="s">
        <v>10</v>
      </c>
    </row>
    <row r="81" spans="1:7" x14ac:dyDescent="0.3">
      <c r="A81" t="s">
        <v>72</v>
      </c>
      <c r="B81" t="s">
        <v>37</v>
      </c>
      <c r="C81" t="s">
        <v>9</v>
      </c>
      <c r="D81">
        <v>11</v>
      </c>
      <c r="E81">
        <v>27662</v>
      </c>
      <c r="F81">
        <v>14770</v>
      </c>
      <c r="G81" t="s">
        <v>10</v>
      </c>
    </row>
    <row r="82" spans="1:7" x14ac:dyDescent="0.3">
      <c r="A82" t="s">
        <v>90</v>
      </c>
      <c r="B82" t="s">
        <v>92</v>
      </c>
      <c r="C82" t="s">
        <v>22</v>
      </c>
      <c r="D82">
        <v>8</v>
      </c>
      <c r="E82">
        <v>8152</v>
      </c>
      <c r="F82">
        <v>20041</v>
      </c>
      <c r="G82" t="s">
        <v>10</v>
      </c>
    </row>
    <row r="83" spans="1:7" x14ac:dyDescent="0.3">
      <c r="A83" t="s">
        <v>108</v>
      </c>
      <c r="B83" t="s">
        <v>54</v>
      </c>
      <c r="C83" t="s">
        <v>9</v>
      </c>
      <c r="D83">
        <v>25</v>
      </c>
      <c r="E83">
        <v>7706</v>
      </c>
      <c r="F83">
        <v>15237</v>
      </c>
      <c r="G83" t="s">
        <v>10</v>
      </c>
    </row>
    <row r="84" spans="1:7" x14ac:dyDescent="0.3">
      <c r="A84" t="s">
        <v>109</v>
      </c>
      <c r="B84" t="s">
        <v>48</v>
      </c>
      <c r="C84" t="s">
        <v>22</v>
      </c>
      <c r="D84">
        <v>18</v>
      </c>
      <c r="E84">
        <v>19830</v>
      </c>
      <c r="F84">
        <v>17899</v>
      </c>
      <c r="G84" t="s">
        <v>10</v>
      </c>
    </row>
    <row r="85" spans="1:7" x14ac:dyDescent="0.3">
      <c r="A85" t="s">
        <v>110</v>
      </c>
      <c r="B85" t="s">
        <v>73</v>
      </c>
      <c r="C85" t="s">
        <v>22</v>
      </c>
      <c r="D85">
        <v>9</v>
      </c>
      <c r="E85">
        <v>26529</v>
      </c>
      <c r="F85">
        <v>14475</v>
      </c>
      <c r="G85" t="s">
        <v>10</v>
      </c>
    </row>
    <row r="86" spans="1:7" x14ac:dyDescent="0.3">
      <c r="A86" t="s">
        <v>55</v>
      </c>
      <c r="B86" t="s">
        <v>29</v>
      </c>
      <c r="C86" t="s">
        <v>22</v>
      </c>
      <c r="D86">
        <v>6</v>
      </c>
      <c r="E86">
        <v>20606</v>
      </c>
      <c r="F86">
        <v>23764</v>
      </c>
      <c r="G86" t="s">
        <v>26</v>
      </c>
    </row>
    <row r="87" spans="1:7" x14ac:dyDescent="0.3">
      <c r="A87" t="s">
        <v>111</v>
      </c>
      <c r="B87" t="s">
        <v>33</v>
      </c>
      <c r="C87" t="s">
        <v>22</v>
      </c>
      <c r="D87">
        <v>15</v>
      </c>
      <c r="E87">
        <v>19256</v>
      </c>
      <c r="F87">
        <v>19102</v>
      </c>
      <c r="G87" t="s">
        <v>10</v>
      </c>
    </row>
    <row r="88" spans="1:7" x14ac:dyDescent="0.3">
      <c r="A88" t="s">
        <v>112</v>
      </c>
      <c r="B88" t="s">
        <v>33</v>
      </c>
      <c r="C88" t="s">
        <v>13</v>
      </c>
      <c r="D88">
        <v>22</v>
      </c>
      <c r="E88">
        <v>20180</v>
      </c>
      <c r="F88">
        <v>23001</v>
      </c>
      <c r="G88" t="s">
        <v>10</v>
      </c>
    </row>
    <row r="89" spans="1:7" x14ac:dyDescent="0.3">
      <c r="A89" t="s">
        <v>14</v>
      </c>
      <c r="B89" t="s">
        <v>50</v>
      </c>
      <c r="C89" t="s">
        <v>22</v>
      </c>
      <c r="D89">
        <v>17</v>
      </c>
      <c r="E89">
        <v>11523</v>
      </c>
      <c r="F89">
        <v>15290</v>
      </c>
      <c r="G89" t="s">
        <v>10</v>
      </c>
    </row>
    <row r="90" spans="1:7" x14ac:dyDescent="0.3">
      <c r="A90" t="s">
        <v>90</v>
      </c>
      <c r="B90" t="s">
        <v>79</v>
      </c>
      <c r="C90" t="s">
        <v>9</v>
      </c>
      <c r="D90">
        <v>10</v>
      </c>
      <c r="E90">
        <v>7490</v>
      </c>
      <c r="F90">
        <v>23287</v>
      </c>
      <c r="G90" t="s">
        <v>10</v>
      </c>
    </row>
    <row r="91" spans="1:7" x14ac:dyDescent="0.3">
      <c r="A91" t="s">
        <v>72</v>
      </c>
      <c r="B91" t="s">
        <v>101</v>
      </c>
      <c r="C91" t="s">
        <v>13</v>
      </c>
      <c r="D91">
        <v>19</v>
      </c>
      <c r="E91">
        <v>7807</v>
      </c>
      <c r="F91">
        <v>17707</v>
      </c>
      <c r="G91" t="s">
        <v>10</v>
      </c>
    </row>
    <row r="92" spans="1:7" x14ac:dyDescent="0.3">
      <c r="A92" t="s">
        <v>113</v>
      </c>
      <c r="B92" t="s">
        <v>8</v>
      </c>
      <c r="C92" t="s">
        <v>9</v>
      </c>
      <c r="D92">
        <v>14</v>
      </c>
      <c r="E92">
        <v>23820</v>
      </c>
      <c r="F92">
        <v>16161</v>
      </c>
      <c r="G92" t="s">
        <v>10</v>
      </c>
    </row>
    <row r="93" spans="1:7" x14ac:dyDescent="0.3">
      <c r="A93" t="s">
        <v>18</v>
      </c>
      <c r="B93" t="s">
        <v>35</v>
      </c>
      <c r="C93" t="s">
        <v>9</v>
      </c>
      <c r="D93">
        <v>14</v>
      </c>
      <c r="E93">
        <v>24650</v>
      </c>
      <c r="F93">
        <v>20207</v>
      </c>
      <c r="G93" t="s">
        <v>10</v>
      </c>
    </row>
    <row r="94" spans="1:7" x14ac:dyDescent="0.3">
      <c r="A94" t="s">
        <v>114</v>
      </c>
      <c r="B94" t="s">
        <v>56</v>
      </c>
      <c r="C94" t="s">
        <v>22</v>
      </c>
      <c r="D94">
        <v>22</v>
      </c>
      <c r="E94">
        <v>29172</v>
      </c>
      <c r="F94">
        <v>21960</v>
      </c>
      <c r="G94" t="s">
        <v>10</v>
      </c>
    </row>
    <row r="95" spans="1:7" x14ac:dyDescent="0.3">
      <c r="A95" t="s">
        <v>47</v>
      </c>
      <c r="B95" t="s">
        <v>33</v>
      </c>
      <c r="C95" t="s">
        <v>22</v>
      </c>
      <c r="D95">
        <v>10</v>
      </c>
      <c r="E95">
        <v>13412</v>
      </c>
      <c r="F95">
        <v>19409</v>
      </c>
      <c r="G95" t="s">
        <v>10</v>
      </c>
    </row>
    <row r="96" spans="1:7" x14ac:dyDescent="0.3">
      <c r="A96" t="s">
        <v>100</v>
      </c>
      <c r="B96" t="s">
        <v>15</v>
      </c>
      <c r="C96" t="s">
        <v>9</v>
      </c>
      <c r="D96">
        <v>22</v>
      </c>
      <c r="E96">
        <v>19069</v>
      </c>
      <c r="F96">
        <v>15064</v>
      </c>
      <c r="G96" t="s">
        <v>10</v>
      </c>
    </row>
    <row r="97" spans="1:7" x14ac:dyDescent="0.3">
      <c r="A97" t="s">
        <v>47</v>
      </c>
      <c r="B97" t="s">
        <v>17</v>
      </c>
      <c r="C97" t="s">
        <v>9</v>
      </c>
      <c r="D97">
        <v>24</v>
      </c>
      <c r="E97">
        <v>29628</v>
      </c>
      <c r="F97">
        <v>21797</v>
      </c>
      <c r="G97" t="s">
        <v>26</v>
      </c>
    </row>
    <row r="98" spans="1:7" x14ac:dyDescent="0.3">
      <c r="A98" t="s">
        <v>115</v>
      </c>
      <c r="B98" t="s">
        <v>50</v>
      </c>
      <c r="C98" t="s">
        <v>22</v>
      </c>
      <c r="D98">
        <v>11</v>
      </c>
      <c r="E98">
        <v>21656</v>
      </c>
      <c r="F98">
        <v>19439</v>
      </c>
      <c r="G98" t="s">
        <v>10</v>
      </c>
    </row>
    <row r="99" spans="1:7" x14ac:dyDescent="0.3">
      <c r="A99" t="s">
        <v>116</v>
      </c>
      <c r="B99" t="s">
        <v>25</v>
      </c>
      <c r="C99" t="s">
        <v>13</v>
      </c>
      <c r="D99">
        <v>24</v>
      </c>
      <c r="E99">
        <v>13989</v>
      </c>
      <c r="F99">
        <v>24512</v>
      </c>
      <c r="G99" t="s">
        <v>10</v>
      </c>
    </row>
    <row r="100" spans="1:7" x14ac:dyDescent="0.3">
      <c r="A100" t="s">
        <v>117</v>
      </c>
      <c r="B100" t="s">
        <v>92</v>
      </c>
      <c r="C100" t="s">
        <v>9</v>
      </c>
      <c r="D100">
        <v>25</v>
      </c>
      <c r="E100">
        <v>24606</v>
      </c>
      <c r="F100">
        <v>22130</v>
      </c>
      <c r="G100" t="s">
        <v>10</v>
      </c>
    </row>
    <row r="101" spans="1:7" x14ac:dyDescent="0.3">
      <c r="A101" t="s">
        <v>11</v>
      </c>
      <c r="B101" t="s">
        <v>33</v>
      </c>
      <c r="C101" t="s">
        <v>9</v>
      </c>
      <c r="D101">
        <v>9</v>
      </c>
      <c r="E101">
        <v>20961</v>
      </c>
      <c r="F101">
        <v>21002</v>
      </c>
      <c r="G101" t="s">
        <v>10</v>
      </c>
    </row>
    <row r="102" spans="1:7" x14ac:dyDescent="0.3">
      <c r="A102" t="s">
        <v>95</v>
      </c>
      <c r="B102" t="s">
        <v>42</v>
      </c>
      <c r="C102" t="s">
        <v>9</v>
      </c>
      <c r="D102">
        <v>24</v>
      </c>
      <c r="E102">
        <v>24552</v>
      </c>
      <c r="F102">
        <v>17163</v>
      </c>
      <c r="G102" t="s">
        <v>10</v>
      </c>
    </row>
    <row r="103" spans="1:7" x14ac:dyDescent="0.3">
      <c r="A103" t="s">
        <v>53</v>
      </c>
      <c r="B103" t="s">
        <v>21</v>
      </c>
      <c r="C103" t="s">
        <v>9</v>
      </c>
      <c r="D103">
        <v>24</v>
      </c>
      <c r="E103">
        <v>24181</v>
      </c>
      <c r="F103">
        <v>21296</v>
      </c>
      <c r="G103" t="s">
        <v>10</v>
      </c>
    </row>
    <row r="104" spans="1:7" x14ac:dyDescent="0.3">
      <c r="A104" t="s">
        <v>118</v>
      </c>
      <c r="B104" t="s">
        <v>25</v>
      </c>
      <c r="C104" t="s">
        <v>9</v>
      </c>
      <c r="D104">
        <v>19</v>
      </c>
      <c r="E104">
        <v>27901</v>
      </c>
      <c r="F104">
        <v>24266</v>
      </c>
      <c r="G104" t="s">
        <v>10</v>
      </c>
    </row>
    <row r="105" spans="1:7" x14ac:dyDescent="0.3">
      <c r="A105" t="s">
        <v>119</v>
      </c>
      <c r="B105" t="s">
        <v>120</v>
      </c>
      <c r="C105" t="s">
        <v>22</v>
      </c>
      <c r="D105">
        <v>24</v>
      </c>
      <c r="E105">
        <v>20757</v>
      </c>
      <c r="F105">
        <v>20322</v>
      </c>
      <c r="G105" t="s">
        <v>10</v>
      </c>
    </row>
    <row r="106" spans="1:7" x14ac:dyDescent="0.3">
      <c r="A106" t="s">
        <v>14</v>
      </c>
      <c r="B106" t="s">
        <v>75</v>
      </c>
      <c r="C106" t="s">
        <v>13</v>
      </c>
      <c r="D106">
        <v>7</v>
      </c>
      <c r="E106">
        <v>17863</v>
      </c>
      <c r="F106">
        <v>17197</v>
      </c>
      <c r="G106" t="s">
        <v>10</v>
      </c>
    </row>
    <row r="107" spans="1:7" x14ac:dyDescent="0.3">
      <c r="A107" t="s">
        <v>121</v>
      </c>
      <c r="B107" t="s">
        <v>8</v>
      </c>
      <c r="C107" t="s">
        <v>13</v>
      </c>
      <c r="D107">
        <v>10</v>
      </c>
      <c r="E107">
        <v>8152</v>
      </c>
      <c r="F107">
        <v>13406</v>
      </c>
      <c r="G107" t="s">
        <v>10</v>
      </c>
    </row>
    <row r="108" spans="1:7" x14ac:dyDescent="0.3">
      <c r="A108" t="s">
        <v>122</v>
      </c>
      <c r="B108" t="s">
        <v>54</v>
      </c>
      <c r="C108" t="s">
        <v>22</v>
      </c>
      <c r="D108">
        <v>21</v>
      </c>
      <c r="E108">
        <v>13099</v>
      </c>
      <c r="F108">
        <v>10652</v>
      </c>
      <c r="G108" t="s">
        <v>10</v>
      </c>
    </row>
    <row r="109" spans="1:7" x14ac:dyDescent="0.3">
      <c r="A109" t="s">
        <v>123</v>
      </c>
      <c r="B109" t="s">
        <v>50</v>
      </c>
      <c r="C109" t="s">
        <v>22</v>
      </c>
      <c r="D109">
        <v>20</v>
      </c>
      <c r="E109">
        <v>7650</v>
      </c>
      <c r="F109">
        <v>18361</v>
      </c>
      <c r="G109" t="s">
        <v>10</v>
      </c>
    </row>
    <row r="110" spans="1:7" x14ac:dyDescent="0.3">
      <c r="A110" t="s">
        <v>124</v>
      </c>
      <c r="B110" t="s">
        <v>35</v>
      </c>
      <c r="C110" t="s">
        <v>9</v>
      </c>
      <c r="D110">
        <v>13</v>
      </c>
      <c r="E110">
        <v>11680</v>
      </c>
      <c r="F110">
        <v>23950</v>
      </c>
      <c r="G110" t="s">
        <v>10</v>
      </c>
    </row>
    <row r="111" spans="1:7" x14ac:dyDescent="0.3">
      <c r="A111" t="s">
        <v>99</v>
      </c>
      <c r="B111" t="s">
        <v>37</v>
      </c>
      <c r="C111" t="s">
        <v>22</v>
      </c>
      <c r="D111">
        <v>12</v>
      </c>
      <c r="E111">
        <v>5033</v>
      </c>
      <c r="F111">
        <v>17663</v>
      </c>
      <c r="G111" t="s">
        <v>10</v>
      </c>
    </row>
    <row r="112" spans="1:7" x14ac:dyDescent="0.3">
      <c r="A112" t="s">
        <v>11</v>
      </c>
      <c r="B112" t="s">
        <v>73</v>
      </c>
      <c r="C112" t="s">
        <v>22</v>
      </c>
      <c r="D112">
        <v>8</v>
      </c>
      <c r="E112">
        <v>11927</v>
      </c>
      <c r="F112">
        <v>20602</v>
      </c>
      <c r="G112" t="s">
        <v>10</v>
      </c>
    </row>
    <row r="113" spans="1:7" x14ac:dyDescent="0.3">
      <c r="A113" t="s">
        <v>84</v>
      </c>
      <c r="B113" t="s">
        <v>50</v>
      </c>
      <c r="C113" t="s">
        <v>13</v>
      </c>
      <c r="D113">
        <v>18</v>
      </c>
      <c r="E113">
        <v>9014</v>
      </c>
      <c r="F113">
        <v>12590</v>
      </c>
      <c r="G113" t="s">
        <v>10</v>
      </c>
    </row>
    <row r="114" spans="1:7" x14ac:dyDescent="0.3">
      <c r="A114" t="s">
        <v>125</v>
      </c>
      <c r="B114" t="s">
        <v>69</v>
      </c>
      <c r="C114" t="s">
        <v>13</v>
      </c>
      <c r="D114">
        <v>18</v>
      </c>
      <c r="E114">
        <v>29300</v>
      </c>
      <c r="F114">
        <v>12609</v>
      </c>
      <c r="G114" t="s">
        <v>10</v>
      </c>
    </row>
    <row r="115" spans="1:7" x14ac:dyDescent="0.3">
      <c r="A115" t="s">
        <v>126</v>
      </c>
      <c r="B115" t="s">
        <v>21</v>
      </c>
      <c r="C115" t="s">
        <v>13</v>
      </c>
      <c r="D115">
        <v>23</v>
      </c>
      <c r="E115">
        <v>21109</v>
      </c>
      <c r="F115">
        <v>23466</v>
      </c>
      <c r="G115" t="s">
        <v>10</v>
      </c>
    </row>
    <row r="116" spans="1:7" x14ac:dyDescent="0.3">
      <c r="A116" t="s">
        <v>127</v>
      </c>
      <c r="B116" t="s">
        <v>56</v>
      </c>
      <c r="C116" t="s">
        <v>9</v>
      </c>
      <c r="D116">
        <v>16</v>
      </c>
      <c r="E116">
        <v>24451</v>
      </c>
      <c r="F116">
        <v>10761</v>
      </c>
      <c r="G116" t="s">
        <v>10</v>
      </c>
    </row>
    <row r="117" spans="1:7" x14ac:dyDescent="0.3">
      <c r="A117" t="s">
        <v>128</v>
      </c>
      <c r="B117" t="s">
        <v>92</v>
      </c>
      <c r="C117" t="s">
        <v>13</v>
      </c>
      <c r="D117">
        <v>6</v>
      </c>
      <c r="E117">
        <v>14446</v>
      </c>
      <c r="F117">
        <v>11480</v>
      </c>
      <c r="G117" t="s">
        <v>10</v>
      </c>
    </row>
    <row r="118" spans="1:7" x14ac:dyDescent="0.3">
      <c r="A118" t="s">
        <v>129</v>
      </c>
      <c r="B118" t="s">
        <v>79</v>
      </c>
      <c r="C118" t="s">
        <v>9</v>
      </c>
      <c r="D118">
        <v>15</v>
      </c>
      <c r="E118">
        <v>26470</v>
      </c>
      <c r="F118">
        <v>13070</v>
      </c>
      <c r="G118" t="s">
        <v>26</v>
      </c>
    </row>
    <row r="119" spans="1:7" x14ac:dyDescent="0.3">
      <c r="A119" t="s">
        <v>130</v>
      </c>
      <c r="B119" t="s">
        <v>79</v>
      </c>
      <c r="C119" t="s">
        <v>13</v>
      </c>
      <c r="D119">
        <v>16</v>
      </c>
      <c r="E119">
        <v>10139</v>
      </c>
      <c r="F119">
        <v>17812</v>
      </c>
      <c r="G119" t="s">
        <v>10</v>
      </c>
    </row>
    <row r="120" spans="1:7" x14ac:dyDescent="0.3">
      <c r="A120" t="s">
        <v>83</v>
      </c>
      <c r="B120" t="s">
        <v>29</v>
      </c>
      <c r="C120" t="s">
        <v>22</v>
      </c>
      <c r="D120">
        <v>8</v>
      </c>
      <c r="E120">
        <v>25024</v>
      </c>
      <c r="F120">
        <v>12884</v>
      </c>
      <c r="G120" t="s">
        <v>10</v>
      </c>
    </row>
    <row r="121" spans="1:7" x14ac:dyDescent="0.3">
      <c r="A121" t="s">
        <v>131</v>
      </c>
      <c r="B121" t="s">
        <v>92</v>
      </c>
      <c r="C121" t="s">
        <v>9</v>
      </c>
      <c r="D121">
        <v>21</v>
      </c>
      <c r="E121">
        <v>26344</v>
      </c>
      <c r="F121">
        <v>21687</v>
      </c>
      <c r="G121" t="s">
        <v>10</v>
      </c>
    </row>
    <row r="122" spans="1:7" x14ac:dyDescent="0.3">
      <c r="A122" t="s">
        <v>99</v>
      </c>
      <c r="B122" t="s">
        <v>27</v>
      </c>
      <c r="C122" t="s">
        <v>13</v>
      </c>
      <c r="D122">
        <v>23</v>
      </c>
      <c r="E122">
        <v>11158</v>
      </c>
      <c r="F122">
        <v>11106</v>
      </c>
      <c r="G122" t="s">
        <v>10</v>
      </c>
    </row>
    <row r="123" spans="1:7" x14ac:dyDescent="0.3">
      <c r="A123" t="s">
        <v>111</v>
      </c>
      <c r="B123" t="s">
        <v>37</v>
      </c>
      <c r="C123" t="s">
        <v>22</v>
      </c>
      <c r="D123">
        <v>25</v>
      </c>
      <c r="E123">
        <v>7559</v>
      </c>
      <c r="F123">
        <v>12224</v>
      </c>
      <c r="G123" t="s">
        <v>10</v>
      </c>
    </row>
    <row r="124" spans="1:7" x14ac:dyDescent="0.3">
      <c r="A124" t="s">
        <v>82</v>
      </c>
      <c r="B124" t="s">
        <v>75</v>
      </c>
      <c r="C124" t="s">
        <v>9</v>
      </c>
      <c r="D124">
        <v>10</v>
      </c>
      <c r="E124">
        <v>29058</v>
      </c>
      <c r="F124">
        <v>24146</v>
      </c>
      <c r="G124" t="s">
        <v>10</v>
      </c>
    </row>
    <row r="125" spans="1:7" x14ac:dyDescent="0.3">
      <c r="A125" t="s">
        <v>132</v>
      </c>
      <c r="B125" t="s">
        <v>46</v>
      </c>
      <c r="C125" t="s">
        <v>13</v>
      </c>
      <c r="D125">
        <v>10</v>
      </c>
      <c r="E125">
        <v>23791</v>
      </c>
      <c r="F125">
        <v>17570</v>
      </c>
      <c r="G125" t="s">
        <v>10</v>
      </c>
    </row>
    <row r="126" spans="1:7" x14ac:dyDescent="0.3">
      <c r="A126" t="s">
        <v>133</v>
      </c>
      <c r="B126" t="s">
        <v>15</v>
      </c>
      <c r="C126" t="s">
        <v>22</v>
      </c>
      <c r="D126">
        <v>17</v>
      </c>
      <c r="E126">
        <v>15428</v>
      </c>
      <c r="F126">
        <v>23558</v>
      </c>
      <c r="G126" t="s">
        <v>10</v>
      </c>
    </row>
    <row r="127" spans="1:7" x14ac:dyDescent="0.3">
      <c r="A127" t="s">
        <v>71</v>
      </c>
      <c r="B127" t="s">
        <v>64</v>
      </c>
      <c r="C127" t="s">
        <v>22</v>
      </c>
      <c r="D127">
        <v>25</v>
      </c>
      <c r="E127">
        <v>6373</v>
      </c>
      <c r="F127">
        <v>23047</v>
      </c>
      <c r="G127" t="s">
        <v>10</v>
      </c>
    </row>
    <row r="128" spans="1:7" x14ac:dyDescent="0.3">
      <c r="A128" t="s">
        <v>102</v>
      </c>
      <c r="B128" t="s">
        <v>67</v>
      </c>
      <c r="C128" t="s">
        <v>13</v>
      </c>
      <c r="D128">
        <v>19</v>
      </c>
      <c r="E128">
        <v>11551</v>
      </c>
      <c r="F128">
        <v>24692</v>
      </c>
      <c r="G128" t="s">
        <v>10</v>
      </c>
    </row>
    <row r="129" spans="1:7" x14ac:dyDescent="0.3">
      <c r="A129" t="s">
        <v>134</v>
      </c>
      <c r="B129" t="s">
        <v>92</v>
      </c>
      <c r="C129" t="s">
        <v>13</v>
      </c>
      <c r="D129">
        <v>23</v>
      </c>
      <c r="E129">
        <v>13825</v>
      </c>
      <c r="F129">
        <v>24784</v>
      </c>
      <c r="G129" t="s">
        <v>10</v>
      </c>
    </row>
    <row r="130" spans="1:7" x14ac:dyDescent="0.3">
      <c r="A130" t="s">
        <v>66</v>
      </c>
      <c r="B130" t="s">
        <v>69</v>
      </c>
      <c r="C130" t="s">
        <v>13</v>
      </c>
      <c r="D130">
        <v>14</v>
      </c>
      <c r="E130">
        <v>8333</v>
      </c>
      <c r="F130">
        <v>22540</v>
      </c>
      <c r="G130" t="s">
        <v>10</v>
      </c>
    </row>
    <row r="131" spans="1:7" x14ac:dyDescent="0.3">
      <c r="A131" t="s">
        <v>135</v>
      </c>
      <c r="B131" t="s">
        <v>92</v>
      </c>
      <c r="C131" t="s">
        <v>9</v>
      </c>
      <c r="D131">
        <v>11</v>
      </c>
      <c r="E131">
        <v>23684</v>
      </c>
      <c r="F131">
        <v>20404</v>
      </c>
      <c r="G131" t="s">
        <v>10</v>
      </c>
    </row>
    <row r="132" spans="1:7" x14ac:dyDescent="0.3">
      <c r="A132" t="s">
        <v>89</v>
      </c>
      <c r="B132" t="s">
        <v>12</v>
      </c>
      <c r="C132" t="s">
        <v>9</v>
      </c>
      <c r="D132">
        <v>24</v>
      </c>
      <c r="E132">
        <v>13973</v>
      </c>
      <c r="F132">
        <v>15443</v>
      </c>
      <c r="G132" t="s">
        <v>10</v>
      </c>
    </row>
    <row r="133" spans="1:7" x14ac:dyDescent="0.3">
      <c r="A133" t="s">
        <v>132</v>
      </c>
      <c r="B133" t="s">
        <v>35</v>
      </c>
      <c r="C133" t="s">
        <v>9</v>
      </c>
      <c r="D133">
        <v>13</v>
      </c>
      <c r="E133">
        <v>19690</v>
      </c>
      <c r="F133">
        <v>12771</v>
      </c>
      <c r="G133" t="s">
        <v>10</v>
      </c>
    </row>
    <row r="134" spans="1:7" x14ac:dyDescent="0.3">
      <c r="A134" t="s">
        <v>136</v>
      </c>
      <c r="B134" t="s">
        <v>31</v>
      </c>
      <c r="C134" t="s">
        <v>22</v>
      </c>
      <c r="D134">
        <v>13</v>
      </c>
      <c r="E134">
        <v>23188</v>
      </c>
      <c r="F134">
        <v>12950</v>
      </c>
      <c r="G134" t="s">
        <v>10</v>
      </c>
    </row>
    <row r="135" spans="1:7" x14ac:dyDescent="0.3">
      <c r="A135" t="s">
        <v>122</v>
      </c>
      <c r="B135" t="s">
        <v>50</v>
      </c>
      <c r="C135" t="s">
        <v>13</v>
      </c>
      <c r="D135">
        <v>18</v>
      </c>
      <c r="E135">
        <v>12856</v>
      </c>
      <c r="F135">
        <v>20453</v>
      </c>
      <c r="G135" t="s">
        <v>10</v>
      </c>
    </row>
    <row r="136" spans="1:7" x14ac:dyDescent="0.3">
      <c r="A136" t="s">
        <v>28</v>
      </c>
      <c r="B136" t="s">
        <v>101</v>
      </c>
      <c r="C136" t="s">
        <v>13</v>
      </c>
      <c r="D136">
        <v>14</v>
      </c>
      <c r="E136">
        <v>18488</v>
      </c>
      <c r="F136">
        <v>22142</v>
      </c>
      <c r="G136" t="s">
        <v>10</v>
      </c>
    </row>
    <row r="137" spans="1:7" x14ac:dyDescent="0.3">
      <c r="A137" t="s">
        <v>78</v>
      </c>
      <c r="B137" t="s">
        <v>50</v>
      </c>
      <c r="C137" t="s">
        <v>9</v>
      </c>
      <c r="D137">
        <v>24</v>
      </c>
      <c r="E137">
        <v>14400</v>
      </c>
      <c r="F137">
        <v>19497</v>
      </c>
      <c r="G137" t="s">
        <v>10</v>
      </c>
    </row>
    <row r="138" spans="1:7" x14ac:dyDescent="0.3">
      <c r="A138" t="s">
        <v>124</v>
      </c>
      <c r="B138" t="s">
        <v>101</v>
      </c>
      <c r="C138" t="s">
        <v>22</v>
      </c>
      <c r="D138">
        <v>11</v>
      </c>
      <c r="E138">
        <v>13498</v>
      </c>
      <c r="F138">
        <v>11476</v>
      </c>
      <c r="G138" t="s">
        <v>10</v>
      </c>
    </row>
    <row r="139" spans="1:7" x14ac:dyDescent="0.3">
      <c r="A139" t="s">
        <v>57</v>
      </c>
      <c r="B139" t="s">
        <v>40</v>
      </c>
      <c r="C139" t="s">
        <v>9</v>
      </c>
      <c r="D139">
        <v>15</v>
      </c>
      <c r="E139">
        <v>9089</v>
      </c>
      <c r="F139">
        <v>23013</v>
      </c>
      <c r="G139" t="s">
        <v>10</v>
      </c>
    </row>
    <row r="140" spans="1:7" x14ac:dyDescent="0.3">
      <c r="A140" t="s">
        <v>7</v>
      </c>
      <c r="B140" t="s">
        <v>31</v>
      </c>
      <c r="C140" t="s">
        <v>13</v>
      </c>
      <c r="D140">
        <v>17</v>
      </c>
      <c r="E140">
        <v>6715</v>
      </c>
      <c r="F140">
        <v>12884</v>
      </c>
      <c r="G140" t="s">
        <v>10</v>
      </c>
    </row>
    <row r="141" spans="1:7" x14ac:dyDescent="0.3">
      <c r="A141" t="s">
        <v>59</v>
      </c>
      <c r="B141" t="s">
        <v>46</v>
      </c>
      <c r="C141" t="s">
        <v>9</v>
      </c>
      <c r="D141">
        <v>8</v>
      </c>
      <c r="E141">
        <v>24333</v>
      </c>
      <c r="F141">
        <v>18207</v>
      </c>
      <c r="G141" t="s">
        <v>10</v>
      </c>
    </row>
    <row r="142" spans="1:7" x14ac:dyDescent="0.3">
      <c r="A142" t="s">
        <v>137</v>
      </c>
      <c r="B142" t="s">
        <v>92</v>
      </c>
      <c r="C142" t="s">
        <v>22</v>
      </c>
      <c r="D142">
        <v>11</v>
      </c>
      <c r="E142">
        <v>21080</v>
      </c>
      <c r="F142">
        <v>11803</v>
      </c>
      <c r="G142" t="s">
        <v>10</v>
      </c>
    </row>
    <row r="143" spans="1:7" x14ac:dyDescent="0.3">
      <c r="A143" t="s">
        <v>138</v>
      </c>
      <c r="B143" t="s">
        <v>69</v>
      </c>
      <c r="C143" t="s">
        <v>9</v>
      </c>
      <c r="D143">
        <v>20</v>
      </c>
      <c r="E143">
        <v>21334</v>
      </c>
      <c r="F143">
        <v>18534</v>
      </c>
      <c r="G143" t="s">
        <v>10</v>
      </c>
    </row>
    <row r="144" spans="1:7" x14ac:dyDescent="0.3">
      <c r="A144" t="s">
        <v>139</v>
      </c>
      <c r="B144" t="s">
        <v>25</v>
      </c>
      <c r="C144" t="s">
        <v>13</v>
      </c>
      <c r="D144">
        <v>15</v>
      </c>
      <c r="E144">
        <v>8842</v>
      </c>
      <c r="F144">
        <v>24960</v>
      </c>
      <c r="G144" t="s">
        <v>10</v>
      </c>
    </row>
    <row r="145" spans="1:7" x14ac:dyDescent="0.3">
      <c r="A145" t="s">
        <v>140</v>
      </c>
      <c r="B145" t="s">
        <v>33</v>
      </c>
      <c r="C145" t="s">
        <v>22</v>
      </c>
      <c r="D145">
        <v>17</v>
      </c>
      <c r="E145">
        <v>22390</v>
      </c>
      <c r="F145">
        <v>13578</v>
      </c>
      <c r="G145" t="s">
        <v>10</v>
      </c>
    </row>
    <row r="146" spans="1:7" x14ac:dyDescent="0.3">
      <c r="A146" t="s">
        <v>127</v>
      </c>
      <c r="B146" t="s">
        <v>37</v>
      </c>
      <c r="C146" t="s">
        <v>13</v>
      </c>
      <c r="D146">
        <v>13</v>
      </c>
      <c r="E146">
        <v>13791</v>
      </c>
      <c r="F146">
        <v>23633</v>
      </c>
      <c r="G146" t="s">
        <v>10</v>
      </c>
    </row>
    <row r="147" spans="1:7" x14ac:dyDescent="0.3">
      <c r="A147" t="s">
        <v>141</v>
      </c>
      <c r="B147" t="s">
        <v>69</v>
      </c>
      <c r="C147" t="s">
        <v>9</v>
      </c>
      <c r="D147">
        <v>22</v>
      </c>
      <c r="E147">
        <v>14581</v>
      </c>
      <c r="F147">
        <v>15006</v>
      </c>
      <c r="G147" t="s">
        <v>10</v>
      </c>
    </row>
    <row r="148" spans="1:7" x14ac:dyDescent="0.3">
      <c r="A148" t="s">
        <v>118</v>
      </c>
      <c r="B148" t="s">
        <v>75</v>
      </c>
      <c r="C148" t="s">
        <v>22</v>
      </c>
      <c r="D148">
        <v>11</v>
      </c>
      <c r="E148">
        <v>22197</v>
      </c>
      <c r="F148">
        <v>22666</v>
      </c>
      <c r="G148" t="s">
        <v>10</v>
      </c>
    </row>
    <row r="149" spans="1:7" x14ac:dyDescent="0.3">
      <c r="A149" t="s">
        <v>123</v>
      </c>
      <c r="B149" t="s">
        <v>8</v>
      </c>
      <c r="C149" t="s">
        <v>22</v>
      </c>
      <c r="D149">
        <v>20</v>
      </c>
      <c r="E149">
        <v>9211</v>
      </c>
      <c r="F149">
        <v>21275</v>
      </c>
      <c r="G149" t="s">
        <v>10</v>
      </c>
    </row>
    <row r="150" spans="1:7" x14ac:dyDescent="0.3">
      <c r="A150" t="s">
        <v>80</v>
      </c>
      <c r="B150" t="s">
        <v>42</v>
      </c>
      <c r="C150" t="s">
        <v>13</v>
      </c>
      <c r="D150">
        <v>16</v>
      </c>
      <c r="E150">
        <v>16594</v>
      </c>
      <c r="F150">
        <v>19367</v>
      </c>
      <c r="G150" t="s">
        <v>10</v>
      </c>
    </row>
    <row r="151" spans="1:7" x14ac:dyDescent="0.3">
      <c r="A151" t="s">
        <v>142</v>
      </c>
      <c r="B151" t="s">
        <v>120</v>
      </c>
      <c r="C151" t="s">
        <v>22</v>
      </c>
      <c r="D151">
        <v>16</v>
      </c>
      <c r="E151">
        <v>9425</v>
      </c>
      <c r="F151">
        <v>11212</v>
      </c>
      <c r="G151" t="s">
        <v>10</v>
      </c>
    </row>
    <row r="152" spans="1:7" x14ac:dyDescent="0.3">
      <c r="A152" t="s">
        <v>106</v>
      </c>
      <c r="B152" t="s">
        <v>73</v>
      </c>
      <c r="C152" t="s">
        <v>22</v>
      </c>
      <c r="D152">
        <v>12</v>
      </c>
      <c r="E152">
        <v>11523</v>
      </c>
      <c r="F152">
        <v>18521</v>
      </c>
      <c r="G152" t="s">
        <v>26</v>
      </c>
    </row>
    <row r="153" spans="1:7" x14ac:dyDescent="0.3">
      <c r="A153" t="s">
        <v>143</v>
      </c>
      <c r="B153" t="s">
        <v>15</v>
      </c>
      <c r="C153" t="s">
        <v>22</v>
      </c>
      <c r="D153">
        <v>5</v>
      </c>
      <c r="E153">
        <v>8021</v>
      </c>
      <c r="F153">
        <v>20762</v>
      </c>
      <c r="G153" t="s">
        <v>10</v>
      </c>
    </row>
    <row r="154" spans="1:7" x14ac:dyDescent="0.3">
      <c r="A154" t="s">
        <v>65</v>
      </c>
      <c r="B154" t="s">
        <v>37</v>
      </c>
      <c r="C154" t="s">
        <v>9</v>
      </c>
      <c r="D154">
        <v>10</v>
      </c>
      <c r="E154">
        <v>27279</v>
      </c>
      <c r="F154">
        <v>14316</v>
      </c>
      <c r="G154" t="s">
        <v>10</v>
      </c>
    </row>
    <row r="155" spans="1:7" x14ac:dyDescent="0.3">
      <c r="A155" t="s">
        <v>144</v>
      </c>
      <c r="B155" t="s">
        <v>54</v>
      </c>
      <c r="C155" t="s">
        <v>9</v>
      </c>
      <c r="D155">
        <v>25</v>
      </c>
      <c r="E155">
        <v>20340</v>
      </c>
      <c r="F155">
        <v>16461</v>
      </c>
      <c r="G155" t="s">
        <v>10</v>
      </c>
    </row>
    <row r="156" spans="1:7" x14ac:dyDescent="0.3">
      <c r="A156" t="s">
        <v>66</v>
      </c>
      <c r="B156" t="s">
        <v>40</v>
      </c>
      <c r="C156" t="s">
        <v>9</v>
      </c>
      <c r="D156">
        <v>20</v>
      </c>
      <c r="E156">
        <v>15427</v>
      </c>
      <c r="F156">
        <v>11353</v>
      </c>
      <c r="G156" t="s">
        <v>10</v>
      </c>
    </row>
    <row r="157" spans="1:7" x14ac:dyDescent="0.3">
      <c r="A157" t="s">
        <v>93</v>
      </c>
      <c r="B157" t="s">
        <v>101</v>
      </c>
      <c r="C157" t="s">
        <v>13</v>
      </c>
      <c r="D157">
        <v>11</v>
      </c>
      <c r="E157">
        <v>12672</v>
      </c>
      <c r="F157">
        <v>16476</v>
      </c>
      <c r="G157" t="s">
        <v>10</v>
      </c>
    </row>
    <row r="158" spans="1:7" x14ac:dyDescent="0.3">
      <c r="A158" t="s">
        <v>106</v>
      </c>
      <c r="B158" t="s">
        <v>64</v>
      </c>
      <c r="C158" t="s">
        <v>9</v>
      </c>
      <c r="D158">
        <v>17</v>
      </c>
      <c r="E158">
        <v>28390</v>
      </c>
      <c r="F158">
        <v>19199</v>
      </c>
      <c r="G158" t="s">
        <v>10</v>
      </c>
    </row>
    <row r="159" spans="1:7" x14ac:dyDescent="0.3">
      <c r="A159" t="s">
        <v>145</v>
      </c>
      <c r="B159" t="s">
        <v>25</v>
      </c>
      <c r="C159" t="s">
        <v>9</v>
      </c>
      <c r="D159">
        <v>23</v>
      </c>
      <c r="E159">
        <v>26269</v>
      </c>
      <c r="F159">
        <v>16216</v>
      </c>
      <c r="G159" t="s">
        <v>10</v>
      </c>
    </row>
    <row r="160" spans="1:7" x14ac:dyDescent="0.3">
      <c r="A160" t="s">
        <v>91</v>
      </c>
      <c r="B160" t="s">
        <v>25</v>
      </c>
      <c r="C160" t="s">
        <v>13</v>
      </c>
      <c r="D160">
        <v>8</v>
      </c>
      <c r="E160">
        <v>14309</v>
      </c>
      <c r="F160">
        <v>12748</v>
      </c>
      <c r="G160" t="s">
        <v>10</v>
      </c>
    </row>
    <row r="161" spans="1:7" x14ac:dyDescent="0.3">
      <c r="A161" t="s">
        <v>124</v>
      </c>
      <c r="B161" t="s">
        <v>29</v>
      </c>
      <c r="C161" t="s">
        <v>9</v>
      </c>
      <c r="D161">
        <v>13</v>
      </c>
      <c r="E161">
        <v>21061</v>
      </c>
      <c r="F161">
        <v>15428</v>
      </c>
      <c r="G161" t="s">
        <v>26</v>
      </c>
    </row>
    <row r="162" spans="1:7" x14ac:dyDescent="0.3">
      <c r="A162" t="s">
        <v>128</v>
      </c>
      <c r="B162" t="s">
        <v>19</v>
      </c>
      <c r="C162" t="s">
        <v>22</v>
      </c>
      <c r="D162">
        <v>12</v>
      </c>
      <c r="E162">
        <v>15115</v>
      </c>
      <c r="F162">
        <v>22693</v>
      </c>
      <c r="G162" t="s">
        <v>10</v>
      </c>
    </row>
    <row r="163" spans="1:7" x14ac:dyDescent="0.3">
      <c r="A163" t="s">
        <v>115</v>
      </c>
      <c r="B163" t="s">
        <v>48</v>
      </c>
      <c r="C163" t="s">
        <v>9</v>
      </c>
      <c r="D163">
        <v>16</v>
      </c>
      <c r="E163">
        <v>18554</v>
      </c>
      <c r="F163">
        <v>16541</v>
      </c>
      <c r="G163" t="s">
        <v>26</v>
      </c>
    </row>
    <row r="164" spans="1:7" x14ac:dyDescent="0.3">
      <c r="A164" t="s">
        <v>146</v>
      </c>
      <c r="B164" t="s">
        <v>37</v>
      </c>
      <c r="C164" t="s">
        <v>13</v>
      </c>
      <c r="D164">
        <v>10</v>
      </c>
      <c r="E164">
        <v>12538</v>
      </c>
      <c r="F164">
        <v>20607</v>
      </c>
      <c r="G164" t="s">
        <v>10</v>
      </c>
    </row>
    <row r="165" spans="1:7" x14ac:dyDescent="0.3">
      <c r="A165" t="s">
        <v>116</v>
      </c>
      <c r="B165" t="s">
        <v>50</v>
      </c>
      <c r="C165" t="s">
        <v>9</v>
      </c>
      <c r="D165">
        <v>19</v>
      </c>
      <c r="E165">
        <v>16875</v>
      </c>
      <c r="F165">
        <v>23976</v>
      </c>
      <c r="G165" t="s">
        <v>10</v>
      </c>
    </row>
    <row r="166" spans="1:7" x14ac:dyDescent="0.3">
      <c r="A166" t="s">
        <v>146</v>
      </c>
      <c r="B166" t="s">
        <v>48</v>
      </c>
      <c r="C166" t="s">
        <v>22</v>
      </c>
      <c r="D166">
        <v>19</v>
      </c>
      <c r="E166">
        <v>27719</v>
      </c>
      <c r="F166">
        <v>17109</v>
      </c>
      <c r="G166" t="s">
        <v>10</v>
      </c>
    </row>
    <row r="167" spans="1:7" x14ac:dyDescent="0.3">
      <c r="A167" t="s">
        <v>20</v>
      </c>
      <c r="B167" t="s">
        <v>21</v>
      </c>
      <c r="C167" t="s">
        <v>9</v>
      </c>
      <c r="D167">
        <v>7</v>
      </c>
      <c r="E167">
        <v>21300</v>
      </c>
      <c r="F167">
        <v>22752</v>
      </c>
      <c r="G167" t="s">
        <v>10</v>
      </c>
    </row>
    <row r="168" spans="1:7" x14ac:dyDescent="0.3">
      <c r="A168" t="s">
        <v>147</v>
      </c>
      <c r="B168" t="s">
        <v>35</v>
      </c>
      <c r="C168" t="s">
        <v>9</v>
      </c>
      <c r="D168">
        <v>17</v>
      </c>
      <c r="E168">
        <v>26895</v>
      </c>
      <c r="F168">
        <v>15421</v>
      </c>
      <c r="G168" t="s">
        <v>10</v>
      </c>
    </row>
    <row r="169" spans="1:7" x14ac:dyDescent="0.3">
      <c r="A169" t="s">
        <v>148</v>
      </c>
      <c r="B169" t="s">
        <v>52</v>
      </c>
      <c r="C169" t="s">
        <v>22</v>
      </c>
      <c r="D169">
        <v>19</v>
      </c>
      <c r="E169">
        <v>8642</v>
      </c>
      <c r="F169">
        <v>11068</v>
      </c>
      <c r="G169" t="s">
        <v>10</v>
      </c>
    </row>
    <row r="170" spans="1:7" x14ac:dyDescent="0.3">
      <c r="A170" t="s">
        <v>39</v>
      </c>
      <c r="B170" t="s">
        <v>15</v>
      </c>
      <c r="C170" t="s">
        <v>13</v>
      </c>
      <c r="D170">
        <v>25</v>
      </c>
      <c r="E170">
        <v>29327</v>
      </c>
      <c r="F170">
        <v>17969</v>
      </c>
      <c r="G170" t="s">
        <v>10</v>
      </c>
    </row>
    <row r="171" spans="1:7" x14ac:dyDescent="0.3">
      <c r="A171" t="s">
        <v>138</v>
      </c>
      <c r="B171" t="s">
        <v>48</v>
      </c>
      <c r="C171" t="s">
        <v>22</v>
      </c>
      <c r="D171">
        <v>12</v>
      </c>
      <c r="E171">
        <v>7843</v>
      </c>
      <c r="F171">
        <v>10806</v>
      </c>
      <c r="G171" t="s">
        <v>26</v>
      </c>
    </row>
    <row r="172" spans="1:7" x14ac:dyDescent="0.3">
      <c r="A172" t="s">
        <v>124</v>
      </c>
      <c r="B172" t="s">
        <v>54</v>
      </c>
      <c r="C172" t="s">
        <v>13</v>
      </c>
      <c r="D172">
        <v>7</v>
      </c>
      <c r="E172">
        <v>6679</v>
      </c>
      <c r="F172">
        <v>17623</v>
      </c>
      <c r="G172" t="s">
        <v>10</v>
      </c>
    </row>
    <row r="173" spans="1:7" x14ac:dyDescent="0.3">
      <c r="A173" t="s">
        <v>24</v>
      </c>
      <c r="B173" t="s">
        <v>40</v>
      </c>
      <c r="C173" t="s">
        <v>22</v>
      </c>
      <c r="D173">
        <v>6</v>
      </c>
      <c r="E173">
        <v>19388</v>
      </c>
      <c r="F173">
        <v>22713</v>
      </c>
      <c r="G173" t="s">
        <v>10</v>
      </c>
    </row>
    <row r="174" spans="1:7" x14ac:dyDescent="0.3">
      <c r="A174" t="s">
        <v>44</v>
      </c>
      <c r="B174" t="s">
        <v>15</v>
      </c>
      <c r="C174" t="s">
        <v>22</v>
      </c>
      <c r="D174">
        <v>8</v>
      </c>
      <c r="E174">
        <v>10544</v>
      </c>
      <c r="F174">
        <v>21212</v>
      </c>
      <c r="G174" t="s">
        <v>10</v>
      </c>
    </row>
    <row r="175" spans="1:7" x14ac:dyDescent="0.3">
      <c r="A175" t="s">
        <v>132</v>
      </c>
      <c r="B175" t="s">
        <v>31</v>
      </c>
      <c r="C175" t="s">
        <v>22</v>
      </c>
      <c r="D175">
        <v>22</v>
      </c>
      <c r="E175">
        <v>19492</v>
      </c>
      <c r="F175">
        <v>10465</v>
      </c>
      <c r="G175" t="s">
        <v>10</v>
      </c>
    </row>
    <row r="176" spans="1:7" x14ac:dyDescent="0.3">
      <c r="A176" t="s">
        <v>23</v>
      </c>
      <c r="B176" t="s">
        <v>69</v>
      </c>
      <c r="C176" t="s">
        <v>22</v>
      </c>
      <c r="D176">
        <v>7</v>
      </c>
      <c r="E176">
        <v>17588</v>
      </c>
      <c r="F176">
        <v>11022</v>
      </c>
      <c r="G176" t="s">
        <v>26</v>
      </c>
    </row>
    <row r="177" spans="1:7" x14ac:dyDescent="0.3">
      <c r="A177" t="s">
        <v>149</v>
      </c>
      <c r="B177" t="s">
        <v>52</v>
      </c>
      <c r="C177" t="s">
        <v>22</v>
      </c>
      <c r="D177">
        <v>16</v>
      </c>
      <c r="E177">
        <v>24103</v>
      </c>
      <c r="F177">
        <v>14553</v>
      </c>
      <c r="G177" t="s">
        <v>10</v>
      </c>
    </row>
    <row r="178" spans="1:7" x14ac:dyDescent="0.3">
      <c r="A178" t="s">
        <v>14</v>
      </c>
      <c r="B178" t="s">
        <v>40</v>
      </c>
      <c r="C178" t="s">
        <v>22</v>
      </c>
      <c r="D178">
        <v>20</v>
      </c>
      <c r="E178">
        <v>26434</v>
      </c>
      <c r="F178">
        <v>20022</v>
      </c>
      <c r="G178" t="s">
        <v>10</v>
      </c>
    </row>
    <row r="179" spans="1:7" x14ac:dyDescent="0.3">
      <c r="A179" t="s">
        <v>104</v>
      </c>
      <c r="B179" t="s">
        <v>21</v>
      </c>
      <c r="C179" t="s">
        <v>22</v>
      </c>
      <c r="D179">
        <v>19</v>
      </c>
      <c r="E179">
        <v>9520</v>
      </c>
      <c r="F179">
        <v>22974</v>
      </c>
      <c r="G179" t="s">
        <v>10</v>
      </c>
    </row>
    <row r="180" spans="1:7" x14ac:dyDescent="0.3">
      <c r="A180" t="s">
        <v>127</v>
      </c>
      <c r="B180" t="s">
        <v>50</v>
      </c>
      <c r="C180" t="s">
        <v>13</v>
      </c>
      <c r="D180">
        <v>22</v>
      </c>
      <c r="E180">
        <v>5618</v>
      </c>
      <c r="F180">
        <v>20336</v>
      </c>
      <c r="G180" t="s">
        <v>10</v>
      </c>
    </row>
    <row r="181" spans="1:7" x14ac:dyDescent="0.3">
      <c r="A181" t="s">
        <v>150</v>
      </c>
      <c r="B181" t="s">
        <v>17</v>
      </c>
      <c r="C181" t="s">
        <v>22</v>
      </c>
      <c r="D181">
        <v>10</v>
      </c>
      <c r="E181">
        <v>17473</v>
      </c>
      <c r="F181">
        <v>17085</v>
      </c>
      <c r="G181" t="s">
        <v>10</v>
      </c>
    </row>
    <row r="182" spans="1:7" x14ac:dyDescent="0.3">
      <c r="A182" t="s">
        <v>151</v>
      </c>
      <c r="B182" t="s">
        <v>101</v>
      </c>
      <c r="C182" t="s">
        <v>9</v>
      </c>
      <c r="D182">
        <v>7</v>
      </c>
      <c r="E182">
        <v>21251</v>
      </c>
      <c r="F182">
        <v>21501</v>
      </c>
      <c r="G182" t="s">
        <v>10</v>
      </c>
    </row>
    <row r="183" spans="1:7" x14ac:dyDescent="0.3">
      <c r="A183" t="s">
        <v>152</v>
      </c>
      <c r="B183" t="s">
        <v>64</v>
      </c>
      <c r="C183" t="s">
        <v>22</v>
      </c>
      <c r="D183">
        <v>25</v>
      </c>
      <c r="E183">
        <v>25195</v>
      </c>
      <c r="F183">
        <v>22794</v>
      </c>
      <c r="G183" t="s">
        <v>10</v>
      </c>
    </row>
    <row r="184" spans="1:7" x14ac:dyDescent="0.3">
      <c r="A184" t="s">
        <v>108</v>
      </c>
      <c r="B184" t="s">
        <v>54</v>
      </c>
      <c r="C184" t="s">
        <v>22</v>
      </c>
      <c r="D184">
        <v>24</v>
      </c>
      <c r="E184">
        <v>15376</v>
      </c>
      <c r="F184">
        <v>24400</v>
      </c>
      <c r="G184" t="s">
        <v>10</v>
      </c>
    </row>
    <row r="185" spans="1:7" x14ac:dyDescent="0.3">
      <c r="A185" t="s">
        <v>32</v>
      </c>
      <c r="B185" t="s">
        <v>8</v>
      </c>
      <c r="C185" t="s">
        <v>22</v>
      </c>
      <c r="D185">
        <v>17</v>
      </c>
      <c r="E185">
        <v>24919</v>
      </c>
      <c r="F185">
        <v>20771</v>
      </c>
      <c r="G185" t="s">
        <v>10</v>
      </c>
    </row>
    <row r="186" spans="1:7" x14ac:dyDescent="0.3">
      <c r="A186" t="s">
        <v>11</v>
      </c>
      <c r="B186" t="s">
        <v>64</v>
      </c>
      <c r="C186" t="s">
        <v>13</v>
      </c>
      <c r="D186">
        <v>15</v>
      </c>
      <c r="E186">
        <v>9782</v>
      </c>
      <c r="F186">
        <v>14186</v>
      </c>
      <c r="G186" t="s">
        <v>26</v>
      </c>
    </row>
    <row r="187" spans="1:7" x14ac:dyDescent="0.3">
      <c r="A187" t="s">
        <v>153</v>
      </c>
      <c r="B187" t="s">
        <v>50</v>
      </c>
      <c r="C187" t="s">
        <v>13</v>
      </c>
      <c r="D187">
        <v>10</v>
      </c>
      <c r="E187">
        <v>7564</v>
      </c>
      <c r="F187">
        <v>13726</v>
      </c>
      <c r="G187" t="s">
        <v>10</v>
      </c>
    </row>
    <row r="188" spans="1:7" x14ac:dyDescent="0.3">
      <c r="A188" t="s">
        <v>154</v>
      </c>
      <c r="B188" t="s">
        <v>75</v>
      </c>
      <c r="C188" t="s">
        <v>9</v>
      </c>
      <c r="D188">
        <v>23</v>
      </c>
      <c r="E188">
        <v>11648</v>
      </c>
      <c r="F188">
        <v>21331</v>
      </c>
      <c r="G188" t="s">
        <v>10</v>
      </c>
    </row>
    <row r="189" spans="1:7" x14ac:dyDescent="0.3">
      <c r="A189" t="s">
        <v>135</v>
      </c>
      <c r="B189" t="s">
        <v>56</v>
      </c>
      <c r="C189" t="s">
        <v>9</v>
      </c>
      <c r="D189">
        <v>18</v>
      </c>
      <c r="E189">
        <v>29493</v>
      </c>
      <c r="F189">
        <v>21406</v>
      </c>
      <c r="G189" t="s">
        <v>10</v>
      </c>
    </row>
    <row r="190" spans="1:7" x14ac:dyDescent="0.3">
      <c r="A190" t="s">
        <v>155</v>
      </c>
      <c r="B190" t="s">
        <v>35</v>
      </c>
      <c r="C190" t="s">
        <v>22</v>
      </c>
      <c r="D190">
        <v>21</v>
      </c>
      <c r="E190">
        <v>24354</v>
      </c>
      <c r="F190">
        <v>16417</v>
      </c>
      <c r="G190" t="s">
        <v>10</v>
      </c>
    </row>
    <row r="191" spans="1:7" x14ac:dyDescent="0.3">
      <c r="A191" t="s">
        <v>89</v>
      </c>
      <c r="B191" t="s">
        <v>27</v>
      </c>
      <c r="C191" t="s">
        <v>13</v>
      </c>
      <c r="D191">
        <v>5</v>
      </c>
      <c r="E191">
        <v>12250</v>
      </c>
      <c r="F191">
        <v>23591</v>
      </c>
      <c r="G191" t="s">
        <v>10</v>
      </c>
    </row>
    <row r="192" spans="1:7" x14ac:dyDescent="0.3">
      <c r="A192" t="s">
        <v>30</v>
      </c>
      <c r="B192" t="s">
        <v>101</v>
      </c>
      <c r="C192" t="s">
        <v>9</v>
      </c>
      <c r="D192">
        <v>8</v>
      </c>
      <c r="E192">
        <v>20893</v>
      </c>
      <c r="F192">
        <v>20389</v>
      </c>
      <c r="G192" t="s">
        <v>10</v>
      </c>
    </row>
    <row r="193" spans="1:7" x14ac:dyDescent="0.3">
      <c r="A193" t="s">
        <v>108</v>
      </c>
      <c r="B193" t="s">
        <v>21</v>
      </c>
      <c r="C193" t="s">
        <v>22</v>
      </c>
      <c r="D193">
        <v>7</v>
      </c>
      <c r="E193">
        <v>19610</v>
      </c>
      <c r="F193">
        <v>17655</v>
      </c>
      <c r="G193" t="s">
        <v>10</v>
      </c>
    </row>
    <row r="194" spans="1:7" x14ac:dyDescent="0.3">
      <c r="A194" t="s">
        <v>65</v>
      </c>
      <c r="B194" t="s">
        <v>15</v>
      </c>
      <c r="C194" t="s">
        <v>22</v>
      </c>
      <c r="D194">
        <v>9</v>
      </c>
      <c r="E194">
        <v>23105</v>
      </c>
      <c r="F194">
        <v>16594</v>
      </c>
      <c r="G194" t="s">
        <v>26</v>
      </c>
    </row>
    <row r="195" spans="1:7" x14ac:dyDescent="0.3">
      <c r="A195" t="s">
        <v>88</v>
      </c>
      <c r="B195" t="s">
        <v>46</v>
      </c>
      <c r="C195" t="s">
        <v>9</v>
      </c>
      <c r="D195">
        <v>10</v>
      </c>
      <c r="E195">
        <v>6122</v>
      </c>
      <c r="F195">
        <v>23399</v>
      </c>
      <c r="G195" t="s">
        <v>10</v>
      </c>
    </row>
    <row r="196" spans="1:7" x14ac:dyDescent="0.3">
      <c r="A196" t="s">
        <v>20</v>
      </c>
      <c r="B196" t="s">
        <v>56</v>
      </c>
      <c r="C196" t="s">
        <v>9</v>
      </c>
      <c r="D196">
        <v>18</v>
      </c>
      <c r="E196">
        <v>25642</v>
      </c>
      <c r="F196">
        <v>12490</v>
      </c>
      <c r="G196" t="s">
        <v>26</v>
      </c>
    </row>
    <row r="197" spans="1:7" x14ac:dyDescent="0.3">
      <c r="A197" t="s">
        <v>38</v>
      </c>
      <c r="B197" t="s">
        <v>50</v>
      </c>
      <c r="C197" t="s">
        <v>22</v>
      </c>
      <c r="D197">
        <v>15</v>
      </c>
      <c r="E197">
        <v>9623</v>
      </c>
      <c r="F197">
        <v>22615</v>
      </c>
      <c r="G197" t="s">
        <v>10</v>
      </c>
    </row>
    <row r="198" spans="1:7" x14ac:dyDescent="0.3">
      <c r="A198" t="s">
        <v>156</v>
      </c>
      <c r="B198" t="s">
        <v>19</v>
      </c>
      <c r="C198" t="s">
        <v>9</v>
      </c>
      <c r="D198">
        <v>24</v>
      </c>
      <c r="E198">
        <v>7993</v>
      </c>
      <c r="F198">
        <v>15046</v>
      </c>
      <c r="G198" t="s">
        <v>10</v>
      </c>
    </row>
    <row r="199" spans="1:7" x14ac:dyDescent="0.3">
      <c r="A199" t="s">
        <v>28</v>
      </c>
      <c r="B199" t="s">
        <v>54</v>
      </c>
      <c r="C199" t="s">
        <v>13</v>
      </c>
      <c r="D199">
        <v>13</v>
      </c>
      <c r="E199">
        <v>28843</v>
      </c>
      <c r="F199">
        <v>14898</v>
      </c>
      <c r="G199" t="s">
        <v>10</v>
      </c>
    </row>
    <row r="200" spans="1:7" x14ac:dyDescent="0.3">
      <c r="A200" t="s">
        <v>157</v>
      </c>
      <c r="B200" t="s">
        <v>75</v>
      </c>
      <c r="C200" t="s">
        <v>13</v>
      </c>
      <c r="D200">
        <v>8</v>
      </c>
      <c r="E200">
        <v>11469</v>
      </c>
      <c r="F200">
        <v>14917</v>
      </c>
      <c r="G200" t="s">
        <v>10</v>
      </c>
    </row>
    <row r="201" spans="1:7" x14ac:dyDescent="0.3">
      <c r="A201" t="s">
        <v>47</v>
      </c>
      <c r="B201" t="s">
        <v>73</v>
      </c>
      <c r="C201" t="s">
        <v>13</v>
      </c>
      <c r="D201">
        <v>10</v>
      </c>
      <c r="E201">
        <v>5873</v>
      </c>
      <c r="F201">
        <v>23966</v>
      </c>
      <c r="G201" t="s">
        <v>10</v>
      </c>
    </row>
    <row r="202" spans="1:7" x14ac:dyDescent="0.3">
      <c r="A202" t="s">
        <v>158</v>
      </c>
      <c r="B202" t="s">
        <v>101</v>
      </c>
      <c r="C202" t="s">
        <v>22</v>
      </c>
      <c r="D202">
        <v>10</v>
      </c>
      <c r="E202">
        <v>18012</v>
      </c>
      <c r="F202">
        <v>24966</v>
      </c>
      <c r="G202" t="s">
        <v>10</v>
      </c>
    </row>
    <row r="203" spans="1:7" x14ac:dyDescent="0.3">
      <c r="A203" t="s">
        <v>84</v>
      </c>
      <c r="B203" t="s">
        <v>33</v>
      </c>
      <c r="C203" t="s">
        <v>22</v>
      </c>
      <c r="D203">
        <v>6</v>
      </c>
      <c r="E203">
        <v>8088</v>
      </c>
      <c r="F203">
        <v>10193</v>
      </c>
      <c r="G203" t="s">
        <v>10</v>
      </c>
    </row>
    <row r="204" spans="1:7" x14ac:dyDescent="0.3">
      <c r="A204" t="s">
        <v>131</v>
      </c>
      <c r="B204" t="s">
        <v>120</v>
      </c>
      <c r="C204" t="s">
        <v>22</v>
      </c>
      <c r="D204">
        <v>11</v>
      </c>
      <c r="E204">
        <v>29961</v>
      </c>
      <c r="F204">
        <v>11170</v>
      </c>
      <c r="G204" t="s">
        <v>26</v>
      </c>
    </row>
    <row r="205" spans="1:7" x14ac:dyDescent="0.3">
      <c r="A205" t="s">
        <v>119</v>
      </c>
      <c r="B205" t="s">
        <v>33</v>
      </c>
      <c r="C205" t="s">
        <v>13</v>
      </c>
      <c r="D205">
        <v>6</v>
      </c>
      <c r="E205">
        <v>15169</v>
      </c>
      <c r="F205">
        <v>15688</v>
      </c>
      <c r="G205" t="s">
        <v>10</v>
      </c>
    </row>
    <row r="206" spans="1:7" x14ac:dyDescent="0.3">
      <c r="A206" t="s">
        <v>159</v>
      </c>
      <c r="B206" t="s">
        <v>29</v>
      </c>
      <c r="C206" t="s">
        <v>13</v>
      </c>
      <c r="D206">
        <v>7</v>
      </c>
      <c r="E206">
        <v>12352</v>
      </c>
      <c r="F206">
        <v>21502</v>
      </c>
      <c r="G206" t="s">
        <v>10</v>
      </c>
    </row>
    <row r="207" spans="1:7" x14ac:dyDescent="0.3">
      <c r="A207" t="s">
        <v>55</v>
      </c>
      <c r="B207" t="s">
        <v>73</v>
      </c>
      <c r="C207" t="s">
        <v>9</v>
      </c>
      <c r="D207">
        <v>7</v>
      </c>
      <c r="E207">
        <v>18850</v>
      </c>
      <c r="F207">
        <v>10048</v>
      </c>
      <c r="G207" t="s">
        <v>10</v>
      </c>
    </row>
    <row r="208" spans="1:7" x14ac:dyDescent="0.3">
      <c r="A208" t="s">
        <v>160</v>
      </c>
      <c r="B208" t="s">
        <v>79</v>
      </c>
      <c r="C208" t="s">
        <v>9</v>
      </c>
      <c r="D208">
        <v>9</v>
      </c>
      <c r="E208">
        <v>6124</v>
      </c>
      <c r="F208">
        <v>22258</v>
      </c>
      <c r="G208" t="s">
        <v>10</v>
      </c>
    </row>
    <row r="209" spans="1:7" x14ac:dyDescent="0.3">
      <c r="A209" t="s">
        <v>161</v>
      </c>
      <c r="B209" t="s">
        <v>101</v>
      </c>
      <c r="C209" t="s">
        <v>22</v>
      </c>
      <c r="D209">
        <v>25</v>
      </c>
      <c r="E209">
        <v>19343</v>
      </c>
      <c r="F209">
        <v>15017</v>
      </c>
      <c r="G209" t="s">
        <v>26</v>
      </c>
    </row>
    <row r="210" spans="1:7" x14ac:dyDescent="0.3">
      <c r="A210" t="s">
        <v>143</v>
      </c>
      <c r="B210" t="s">
        <v>52</v>
      </c>
      <c r="C210" t="s">
        <v>9</v>
      </c>
      <c r="D210">
        <v>13</v>
      </c>
      <c r="E210">
        <v>29340</v>
      </c>
      <c r="F210">
        <v>13389</v>
      </c>
      <c r="G210" t="s">
        <v>10</v>
      </c>
    </row>
    <row r="211" spans="1:7" x14ac:dyDescent="0.3">
      <c r="A211" t="s">
        <v>162</v>
      </c>
      <c r="B211" t="s">
        <v>19</v>
      </c>
      <c r="C211" t="s">
        <v>9</v>
      </c>
      <c r="D211">
        <v>8</v>
      </c>
      <c r="E211">
        <v>15202</v>
      </c>
      <c r="F211">
        <v>19422</v>
      </c>
      <c r="G211" t="s">
        <v>10</v>
      </c>
    </row>
    <row r="212" spans="1:7" x14ac:dyDescent="0.3">
      <c r="A212" t="s">
        <v>127</v>
      </c>
      <c r="B212" t="s">
        <v>25</v>
      </c>
      <c r="C212" t="s">
        <v>22</v>
      </c>
      <c r="D212">
        <v>18</v>
      </c>
      <c r="E212">
        <v>5367</v>
      </c>
      <c r="F212">
        <v>24209</v>
      </c>
      <c r="G212" t="s">
        <v>10</v>
      </c>
    </row>
    <row r="213" spans="1:7" x14ac:dyDescent="0.3">
      <c r="A213" t="s">
        <v>163</v>
      </c>
      <c r="B213" t="s">
        <v>64</v>
      </c>
      <c r="C213" t="s">
        <v>9</v>
      </c>
      <c r="D213">
        <v>23</v>
      </c>
      <c r="E213">
        <v>9823</v>
      </c>
      <c r="F213">
        <v>18779</v>
      </c>
      <c r="G213" t="s">
        <v>10</v>
      </c>
    </row>
    <row r="214" spans="1:7" x14ac:dyDescent="0.3">
      <c r="A214" t="s">
        <v>164</v>
      </c>
      <c r="B214" t="s">
        <v>75</v>
      </c>
      <c r="C214" t="s">
        <v>13</v>
      </c>
      <c r="D214">
        <v>10</v>
      </c>
      <c r="E214">
        <v>28271</v>
      </c>
      <c r="F214">
        <v>23143</v>
      </c>
      <c r="G214" t="s">
        <v>10</v>
      </c>
    </row>
    <row r="215" spans="1:7" x14ac:dyDescent="0.3">
      <c r="A215" t="s">
        <v>149</v>
      </c>
      <c r="B215" t="s">
        <v>40</v>
      </c>
      <c r="C215" t="s">
        <v>22</v>
      </c>
      <c r="D215">
        <v>12</v>
      </c>
      <c r="E215">
        <v>19180</v>
      </c>
      <c r="F215">
        <v>18399</v>
      </c>
      <c r="G215" t="s">
        <v>10</v>
      </c>
    </row>
    <row r="216" spans="1:7" x14ac:dyDescent="0.3">
      <c r="A216" t="s">
        <v>32</v>
      </c>
      <c r="B216" t="s">
        <v>42</v>
      </c>
      <c r="C216" t="s">
        <v>22</v>
      </c>
      <c r="D216">
        <v>25</v>
      </c>
      <c r="E216">
        <v>21780</v>
      </c>
      <c r="F216">
        <v>18391</v>
      </c>
      <c r="G216" t="s">
        <v>10</v>
      </c>
    </row>
    <row r="217" spans="1:7" x14ac:dyDescent="0.3">
      <c r="A217" t="s">
        <v>20</v>
      </c>
      <c r="B217" t="s">
        <v>35</v>
      </c>
      <c r="C217" t="s">
        <v>9</v>
      </c>
      <c r="D217">
        <v>5</v>
      </c>
      <c r="E217">
        <v>22013</v>
      </c>
      <c r="F217">
        <v>23669</v>
      </c>
      <c r="G217" t="s">
        <v>10</v>
      </c>
    </row>
    <row r="218" spans="1:7" x14ac:dyDescent="0.3">
      <c r="A218" t="s">
        <v>82</v>
      </c>
      <c r="B218" t="s">
        <v>35</v>
      </c>
      <c r="C218" t="s">
        <v>22</v>
      </c>
      <c r="D218">
        <v>7</v>
      </c>
      <c r="E218">
        <v>24436</v>
      </c>
      <c r="F218">
        <v>15868</v>
      </c>
      <c r="G218" t="s">
        <v>10</v>
      </c>
    </row>
    <row r="219" spans="1:7" x14ac:dyDescent="0.3">
      <c r="A219" t="s">
        <v>84</v>
      </c>
      <c r="B219" t="s">
        <v>17</v>
      </c>
      <c r="C219" t="s">
        <v>9</v>
      </c>
      <c r="D219">
        <v>24</v>
      </c>
      <c r="E219">
        <v>24143</v>
      </c>
      <c r="F219">
        <v>22753</v>
      </c>
      <c r="G219" t="s">
        <v>10</v>
      </c>
    </row>
    <row r="220" spans="1:7" x14ac:dyDescent="0.3">
      <c r="A220" t="s">
        <v>165</v>
      </c>
      <c r="B220" t="s">
        <v>33</v>
      </c>
      <c r="C220" t="s">
        <v>22</v>
      </c>
      <c r="D220">
        <v>12</v>
      </c>
      <c r="E220">
        <v>8665</v>
      </c>
      <c r="F220">
        <v>13735</v>
      </c>
      <c r="G220" t="s">
        <v>10</v>
      </c>
    </row>
    <row r="221" spans="1:7" x14ac:dyDescent="0.3">
      <c r="A221" t="s">
        <v>38</v>
      </c>
      <c r="B221" t="s">
        <v>33</v>
      </c>
      <c r="C221" t="s">
        <v>9</v>
      </c>
      <c r="D221">
        <v>20</v>
      </c>
      <c r="E221">
        <v>26304</v>
      </c>
      <c r="F221">
        <v>22604</v>
      </c>
      <c r="G221" t="s">
        <v>10</v>
      </c>
    </row>
    <row r="222" spans="1:7" x14ac:dyDescent="0.3">
      <c r="A222" t="s">
        <v>166</v>
      </c>
      <c r="B222" t="s">
        <v>33</v>
      </c>
      <c r="C222" t="s">
        <v>9</v>
      </c>
      <c r="D222">
        <v>23</v>
      </c>
      <c r="E222">
        <v>25831</v>
      </c>
      <c r="F222">
        <v>13727</v>
      </c>
      <c r="G222" t="s">
        <v>10</v>
      </c>
    </row>
    <row r="223" spans="1:7" x14ac:dyDescent="0.3">
      <c r="A223" t="s">
        <v>104</v>
      </c>
      <c r="B223" t="s">
        <v>69</v>
      </c>
      <c r="C223" t="s">
        <v>9</v>
      </c>
      <c r="D223">
        <v>6</v>
      </c>
      <c r="E223">
        <v>27692</v>
      </c>
      <c r="F223">
        <v>19035</v>
      </c>
      <c r="G223" t="s">
        <v>10</v>
      </c>
    </row>
    <row r="224" spans="1:7" x14ac:dyDescent="0.3">
      <c r="A224" t="s">
        <v>143</v>
      </c>
      <c r="B224" t="s">
        <v>120</v>
      </c>
      <c r="C224" t="s">
        <v>9</v>
      </c>
      <c r="D224">
        <v>14</v>
      </c>
      <c r="E224">
        <v>29622</v>
      </c>
      <c r="F224">
        <v>13728</v>
      </c>
      <c r="G224" t="s">
        <v>10</v>
      </c>
    </row>
    <row r="225" spans="1:7" x14ac:dyDescent="0.3">
      <c r="A225" t="s">
        <v>143</v>
      </c>
      <c r="B225" t="s">
        <v>48</v>
      </c>
      <c r="C225" t="s">
        <v>13</v>
      </c>
      <c r="D225">
        <v>13</v>
      </c>
      <c r="E225">
        <v>5235</v>
      </c>
      <c r="F225">
        <v>12722</v>
      </c>
      <c r="G225" t="s">
        <v>10</v>
      </c>
    </row>
    <row r="226" spans="1:7" x14ac:dyDescent="0.3">
      <c r="A226" t="s">
        <v>91</v>
      </c>
      <c r="B226" t="s">
        <v>17</v>
      </c>
      <c r="C226" t="s">
        <v>22</v>
      </c>
      <c r="D226">
        <v>25</v>
      </c>
      <c r="E226">
        <v>10238</v>
      </c>
      <c r="F226">
        <v>13741</v>
      </c>
      <c r="G226" t="s">
        <v>10</v>
      </c>
    </row>
    <row r="227" spans="1:7" x14ac:dyDescent="0.3">
      <c r="A227" t="s">
        <v>167</v>
      </c>
      <c r="B227" t="s">
        <v>17</v>
      </c>
      <c r="C227" t="s">
        <v>9</v>
      </c>
      <c r="D227">
        <v>23</v>
      </c>
      <c r="E227">
        <v>23805</v>
      </c>
      <c r="F227">
        <v>20726</v>
      </c>
      <c r="G227" t="s">
        <v>10</v>
      </c>
    </row>
    <row r="228" spans="1:7" x14ac:dyDescent="0.3">
      <c r="A228" t="s">
        <v>168</v>
      </c>
      <c r="B228" t="s">
        <v>69</v>
      </c>
      <c r="C228" t="s">
        <v>9</v>
      </c>
      <c r="D228">
        <v>16</v>
      </c>
      <c r="E228">
        <v>14343</v>
      </c>
      <c r="F228">
        <v>16361</v>
      </c>
      <c r="G228" t="s">
        <v>10</v>
      </c>
    </row>
    <row r="229" spans="1:7" x14ac:dyDescent="0.3">
      <c r="A229" t="s">
        <v>169</v>
      </c>
      <c r="B229" t="s">
        <v>101</v>
      </c>
      <c r="C229" t="s">
        <v>9</v>
      </c>
      <c r="D229">
        <v>18</v>
      </c>
      <c r="E229">
        <v>5878</v>
      </c>
      <c r="F229">
        <v>23968</v>
      </c>
      <c r="G229" t="s">
        <v>10</v>
      </c>
    </row>
    <row r="230" spans="1:7" x14ac:dyDescent="0.3">
      <c r="A230" t="s">
        <v>83</v>
      </c>
      <c r="B230" t="s">
        <v>25</v>
      </c>
      <c r="C230" t="s">
        <v>13</v>
      </c>
      <c r="D230">
        <v>22</v>
      </c>
      <c r="E230">
        <v>25983</v>
      </c>
      <c r="F230">
        <v>10369</v>
      </c>
      <c r="G230" t="s">
        <v>10</v>
      </c>
    </row>
    <row r="231" spans="1:7" x14ac:dyDescent="0.3">
      <c r="A231" t="s">
        <v>71</v>
      </c>
      <c r="B231" t="s">
        <v>35</v>
      </c>
      <c r="C231" t="s">
        <v>22</v>
      </c>
      <c r="D231">
        <v>25</v>
      </c>
      <c r="E231">
        <v>9793</v>
      </c>
      <c r="F231">
        <v>18013</v>
      </c>
      <c r="G231" t="s">
        <v>10</v>
      </c>
    </row>
    <row r="232" spans="1:7" x14ac:dyDescent="0.3">
      <c r="A232" t="s">
        <v>170</v>
      </c>
      <c r="B232" t="s">
        <v>15</v>
      </c>
      <c r="C232" t="s">
        <v>13</v>
      </c>
      <c r="D232">
        <v>23</v>
      </c>
      <c r="E232">
        <v>7742</v>
      </c>
      <c r="F232">
        <v>24772</v>
      </c>
      <c r="G232" t="s">
        <v>10</v>
      </c>
    </row>
    <row r="233" spans="1:7" x14ac:dyDescent="0.3">
      <c r="A233" t="s">
        <v>171</v>
      </c>
      <c r="B233" t="s">
        <v>29</v>
      </c>
      <c r="C233" t="s">
        <v>13</v>
      </c>
      <c r="D233">
        <v>14</v>
      </c>
      <c r="E233">
        <v>29427</v>
      </c>
      <c r="F233">
        <v>19862</v>
      </c>
      <c r="G233" t="s">
        <v>10</v>
      </c>
    </row>
    <row r="234" spans="1:7" x14ac:dyDescent="0.3">
      <c r="A234" t="s">
        <v>172</v>
      </c>
      <c r="B234" t="s">
        <v>15</v>
      </c>
      <c r="C234" t="s">
        <v>22</v>
      </c>
      <c r="D234">
        <v>5</v>
      </c>
      <c r="E234">
        <v>20775</v>
      </c>
      <c r="F234">
        <v>13710</v>
      </c>
      <c r="G234" t="s">
        <v>10</v>
      </c>
    </row>
    <row r="235" spans="1:7" x14ac:dyDescent="0.3">
      <c r="A235" t="s">
        <v>30</v>
      </c>
      <c r="B235" t="s">
        <v>8</v>
      </c>
      <c r="C235" t="s">
        <v>13</v>
      </c>
      <c r="D235">
        <v>19</v>
      </c>
      <c r="E235">
        <v>22690</v>
      </c>
      <c r="F235">
        <v>19627</v>
      </c>
      <c r="G235" t="s">
        <v>10</v>
      </c>
    </row>
    <row r="236" spans="1:7" x14ac:dyDescent="0.3">
      <c r="A236" t="s">
        <v>113</v>
      </c>
      <c r="B236" t="s">
        <v>33</v>
      </c>
      <c r="C236" t="s">
        <v>13</v>
      </c>
      <c r="D236">
        <v>22</v>
      </c>
      <c r="E236">
        <v>24183</v>
      </c>
      <c r="F236">
        <v>22954</v>
      </c>
      <c r="G236" t="s">
        <v>10</v>
      </c>
    </row>
    <row r="237" spans="1:7" x14ac:dyDescent="0.3">
      <c r="A237" t="s">
        <v>173</v>
      </c>
      <c r="B237" t="s">
        <v>64</v>
      </c>
      <c r="C237" t="s">
        <v>9</v>
      </c>
      <c r="D237">
        <v>14</v>
      </c>
      <c r="E237">
        <v>19615</v>
      </c>
      <c r="F237">
        <v>14396</v>
      </c>
      <c r="G237" t="s">
        <v>10</v>
      </c>
    </row>
    <row r="238" spans="1:7" x14ac:dyDescent="0.3">
      <c r="A238" t="s">
        <v>134</v>
      </c>
      <c r="B238" t="s">
        <v>64</v>
      </c>
      <c r="C238" t="s">
        <v>13</v>
      </c>
      <c r="D238">
        <v>6</v>
      </c>
      <c r="E238">
        <v>21451</v>
      </c>
      <c r="F238">
        <v>12821</v>
      </c>
      <c r="G238" t="s">
        <v>10</v>
      </c>
    </row>
    <row r="239" spans="1:7" x14ac:dyDescent="0.3">
      <c r="A239" t="s">
        <v>138</v>
      </c>
      <c r="B239" t="s">
        <v>64</v>
      </c>
      <c r="C239" t="s">
        <v>22</v>
      </c>
      <c r="D239">
        <v>21</v>
      </c>
      <c r="E239">
        <v>5121</v>
      </c>
      <c r="F239">
        <v>10566</v>
      </c>
      <c r="G239" t="s">
        <v>10</v>
      </c>
    </row>
    <row r="240" spans="1:7" x14ac:dyDescent="0.3">
      <c r="A240" t="s">
        <v>36</v>
      </c>
      <c r="B240" t="s">
        <v>64</v>
      </c>
      <c r="C240" t="s">
        <v>22</v>
      </c>
      <c r="D240">
        <v>8</v>
      </c>
      <c r="E240">
        <v>13443</v>
      </c>
      <c r="F240">
        <v>18909</v>
      </c>
      <c r="G240" t="s">
        <v>10</v>
      </c>
    </row>
    <row r="241" spans="1:7" x14ac:dyDescent="0.3">
      <c r="A241" t="s">
        <v>174</v>
      </c>
      <c r="B241" t="s">
        <v>69</v>
      </c>
      <c r="C241" t="s">
        <v>9</v>
      </c>
      <c r="D241">
        <v>21</v>
      </c>
      <c r="E241">
        <v>13857</v>
      </c>
      <c r="F241">
        <v>16089</v>
      </c>
      <c r="G241" t="s">
        <v>10</v>
      </c>
    </row>
    <row r="242" spans="1:7" x14ac:dyDescent="0.3">
      <c r="A242" t="s">
        <v>175</v>
      </c>
      <c r="B242" t="s">
        <v>52</v>
      </c>
      <c r="C242" t="s">
        <v>9</v>
      </c>
      <c r="D242">
        <v>22</v>
      </c>
      <c r="E242">
        <v>19504</v>
      </c>
      <c r="F242">
        <v>12390</v>
      </c>
      <c r="G242" t="s">
        <v>10</v>
      </c>
    </row>
    <row r="243" spans="1:7" x14ac:dyDescent="0.3">
      <c r="A243" t="s">
        <v>109</v>
      </c>
      <c r="B243" t="s">
        <v>17</v>
      </c>
      <c r="C243" t="s">
        <v>13</v>
      </c>
      <c r="D243">
        <v>21</v>
      </c>
      <c r="E243">
        <v>10092</v>
      </c>
      <c r="F243">
        <v>11086</v>
      </c>
      <c r="G243" t="s">
        <v>10</v>
      </c>
    </row>
    <row r="244" spans="1:7" x14ac:dyDescent="0.3">
      <c r="A244" t="s">
        <v>11</v>
      </c>
      <c r="B244" t="s">
        <v>33</v>
      </c>
      <c r="C244" t="s">
        <v>22</v>
      </c>
      <c r="D244">
        <v>22</v>
      </c>
      <c r="E244">
        <v>11355</v>
      </c>
      <c r="F244">
        <v>22741</v>
      </c>
      <c r="G244" t="s">
        <v>10</v>
      </c>
    </row>
    <row r="245" spans="1:7" x14ac:dyDescent="0.3">
      <c r="A245" t="s">
        <v>176</v>
      </c>
      <c r="B245" t="s">
        <v>17</v>
      </c>
      <c r="C245" t="s">
        <v>22</v>
      </c>
      <c r="D245">
        <v>25</v>
      </c>
      <c r="E245">
        <v>9945</v>
      </c>
      <c r="F245">
        <v>15476</v>
      </c>
      <c r="G245" t="s">
        <v>10</v>
      </c>
    </row>
    <row r="246" spans="1:7" x14ac:dyDescent="0.3">
      <c r="A246" t="s">
        <v>177</v>
      </c>
      <c r="B246" t="s">
        <v>21</v>
      </c>
      <c r="C246" t="s">
        <v>9</v>
      </c>
      <c r="D246">
        <v>15</v>
      </c>
      <c r="E246">
        <v>23399</v>
      </c>
      <c r="F246">
        <v>18704</v>
      </c>
      <c r="G246" t="s">
        <v>10</v>
      </c>
    </row>
    <row r="247" spans="1:7" x14ac:dyDescent="0.3">
      <c r="A247" t="s">
        <v>178</v>
      </c>
      <c r="B247" t="s">
        <v>79</v>
      </c>
      <c r="C247" t="s">
        <v>9</v>
      </c>
      <c r="D247">
        <v>6</v>
      </c>
      <c r="E247">
        <v>13822</v>
      </c>
      <c r="F247">
        <v>10888</v>
      </c>
      <c r="G247" t="s">
        <v>10</v>
      </c>
    </row>
    <row r="248" spans="1:7" x14ac:dyDescent="0.3">
      <c r="A248" t="s">
        <v>36</v>
      </c>
      <c r="B248" t="s">
        <v>33</v>
      </c>
      <c r="C248" t="s">
        <v>22</v>
      </c>
      <c r="D248">
        <v>22</v>
      </c>
      <c r="E248">
        <v>20607</v>
      </c>
      <c r="F248">
        <v>10355</v>
      </c>
      <c r="G248" t="s">
        <v>10</v>
      </c>
    </row>
    <row r="249" spans="1:7" x14ac:dyDescent="0.3">
      <c r="A249" t="s">
        <v>177</v>
      </c>
      <c r="B249" t="s">
        <v>35</v>
      </c>
      <c r="C249" t="s">
        <v>22</v>
      </c>
      <c r="D249">
        <v>13</v>
      </c>
      <c r="E249">
        <v>25999</v>
      </c>
      <c r="F249">
        <v>18847</v>
      </c>
      <c r="G249" t="s">
        <v>10</v>
      </c>
    </row>
    <row r="250" spans="1:7" x14ac:dyDescent="0.3">
      <c r="A250" t="s">
        <v>117</v>
      </c>
      <c r="B250" t="s">
        <v>50</v>
      </c>
      <c r="C250" t="s">
        <v>22</v>
      </c>
      <c r="D250">
        <v>15</v>
      </c>
      <c r="E250">
        <v>13744</v>
      </c>
      <c r="F250">
        <v>14452</v>
      </c>
      <c r="G250" t="s">
        <v>10</v>
      </c>
    </row>
    <row r="251" spans="1:7" x14ac:dyDescent="0.3">
      <c r="A251" t="s">
        <v>59</v>
      </c>
      <c r="B251" t="s">
        <v>56</v>
      </c>
      <c r="C251" t="s">
        <v>13</v>
      </c>
      <c r="D251">
        <v>20</v>
      </c>
      <c r="E251">
        <v>5685</v>
      </c>
      <c r="F251">
        <v>14560</v>
      </c>
      <c r="G251" t="s">
        <v>10</v>
      </c>
    </row>
    <row r="252" spans="1:7" x14ac:dyDescent="0.3">
      <c r="A252" t="s">
        <v>113</v>
      </c>
      <c r="B252" t="s">
        <v>92</v>
      </c>
      <c r="C252" t="s">
        <v>9</v>
      </c>
      <c r="D252">
        <v>12</v>
      </c>
      <c r="E252">
        <v>11902</v>
      </c>
      <c r="F252">
        <v>14718</v>
      </c>
      <c r="G252" t="s">
        <v>10</v>
      </c>
    </row>
    <row r="253" spans="1:7" x14ac:dyDescent="0.3">
      <c r="A253" t="s">
        <v>51</v>
      </c>
      <c r="B253" t="s">
        <v>40</v>
      </c>
      <c r="C253" t="s">
        <v>13</v>
      </c>
      <c r="D253">
        <v>7</v>
      </c>
      <c r="E253">
        <v>13361</v>
      </c>
      <c r="F253">
        <v>24697</v>
      </c>
      <c r="G253" t="s">
        <v>26</v>
      </c>
    </row>
    <row r="254" spans="1:7" x14ac:dyDescent="0.3">
      <c r="A254" t="s">
        <v>57</v>
      </c>
      <c r="B254" t="s">
        <v>25</v>
      </c>
      <c r="C254" t="s">
        <v>22</v>
      </c>
      <c r="D254">
        <v>16</v>
      </c>
      <c r="E254">
        <v>25893</v>
      </c>
      <c r="F254">
        <v>23880</v>
      </c>
      <c r="G254" t="s">
        <v>26</v>
      </c>
    </row>
    <row r="255" spans="1:7" x14ac:dyDescent="0.3">
      <c r="A255" t="s">
        <v>179</v>
      </c>
      <c r="B255" t="s">
        <v>33</v>
      </c>
      <c r="C255" t="s">
        <v>9</v>
      </c>
      <c r="D255">
        <v>12</v>
      </c>
      <c r="E255">
        <v>12970</v>
      </c>
      <c r="F255">
        <v>18194</v>
      </c>
      <c r="G255" t="s">
        <v>26</v>
      </c>
    </row>
    <row r="256" spans="1:7" x14ac:dyDescent="0.3">
      <c r="A256" t="s">
        <v>180</v>
      </c>
      <c r="B256" t="s">
        <v>73</v>
      </c>
      <c r="C256" t="s">
        <v>22</v>
      </c>
      <c r="D256">
        <v>5</v>
      </c>
      <c r="E256">
        <v>17095</v>
      </c>
      <c r="F256">
        <v>13096</v>
      </c>
      <c r="G256" t="s">
        <v>10</v>
      </c>
    </row>
    <row r="257" spans="1:7" x14ac:dyDescent="0.3">
      <c r="A257" t="s">
        <v>181</v>
      </c>
      <c r="B257" t="s">
        <v>17</v>
      </c>
      <c r="C257" t="s">
        <v>9</v>
      </c>
      <c r="D257">
        <v>25</v>
      </c>
      <c r="E257">
        <v>13543</v>
      </c>
      <c r="F257">
        <v>17470</v>
      </c>
      <c r="G257" t="s">
        <v>10</v>
      </c>
    </row>
    <row r="258" spans="1:7" x14ac:dyDescent="0.3">
      <c r="A258" t="s">
        <v>159</v>
      </c>
      <c r="B258" t="s">
        <v>92</v>
      </c>
      <c r="C258" t="s">
        <v>13</v>
      </c>
      <c r="D258">
        <v>23</v>
      </c>
      <c r="E258">
        <v>21401</v>
      </c>
      <c r="F258">
        <v>20133</v>
      </c>
      <c r="G258" t="s">
        <v>10</v>
      </c>
    </row>
    <row r="259" spans="1:7" x14ac:dyDescent="0.3">
      <c r="A259" t="s">
        <v>169</v>
      </c>
      <c r="B259" t="s">
        <v>54</v>
      </c>
      <c r="C259" t="s">
        <v>22</v>
      </c>
      <c r="D259">
        <v>19</v>
      </c>
      <c r="E259">
        <v>24438</v>
      </c>
      <c r="F259">
        <v>12964</v>
      </c>
      <c r="G259" t="s">
        <v>10</v>
      </c>
    </row>
    <row r="260" spans="1:7" x14ac:dyDescent="0.3">
      <c r="A260" t="s">
        <v>53</v>
      </c>
      <c r="B260" t="s">
        <v>46</v>
      </c>
      <c r="C260" t="s">
        <v>9</v>
      </c>
      <c r="D260">
        <v>24</v>
      </c>
      <c r="E260">
        <v>24498</v>
      </c>
      <c r="F260">
        <v>21994</v>
      </c>
      <c r="G260" t="s">
        <v>26</v>
      </c>
    </row>
    <row r="261" spans="1:7" x14ac:dyDescent="0.3">
      <c r="A261" t="s">
        <v>182</v>
      </c>
      <c r="B261" t="s">
        <v>15</v>
      </c>
      <c r="C261" t="s">
        <v>13</v>
      </c>
      <c r="D261">
        <v>24</v>
      </c>
      <c r="E261">
        <v>10968</v>
      </c>
      <c r="F261">
        <v>11659</v>
      </c>
      <c r="G261" t="s">
        <v>26</v>
      </c>
    </row>
    <row r="262" spans="1:7" x14ac:dyDescent="0.3">
      <c r="A262" t="s">
        <v>91</v>
      </c>
      <c r="B262" t="s">
        <v>37</v>
      </c>
      <c r="C262" t="s">
        <v>22</v>
      </c>
      <c r="D262">
        <v>20</v>
      </c>
      <c r="E262">
        <v>12869</v>
      </c>
      <c r="F262">
        <v>20201</v>
      </c>
      <c r="G262" t="s">
        <v>10</v>
      </c>
    </row>
    <row r="263" spans="1:7" x14ac:dyDescent="0.3">
      <c r="A263" t="s">
        <v>183</v>
      </c>
      <c r="B263" t="s">
        <v>29</v>
      </c>
      <c r="C263" t="s">
        <v>13</v>
      </c>
      <c r="D263">
        <v>8</v>
      </c>
      <c r="E263">
        <v>26532</v>
      </c>
      <c r="F263">
        <v>20625</v>
      </c>
      <c r="G263" t="s">
        <v>10</v>
      </c>
    </row>
    <row r="264" spans="1:7" x14ac:dyDescent="0.3">
      <c r="A264" t="s">
        <v>124</v>
      </c>
      <c r="B264" t="s">
        <v>54</v>
      </c>
      <c r="C264" t="s">
        <v>22</v>
      </c>
      <c r="D264">
        <v>12</v>
      </c>
      <c r="E264">
        <v>8749</v>
      </c>
      <c r="F264">
        <v>14412</v>
      </c>
      <c r="G264" t="s">
        <v>10</v>
      </c>
    </row>
    <row r="265" spans="1:7" x14ac:dyDescent="0.3">
      <c r="A265" t="s">
        <v>132</v>
      </c>
      <c r="B265" t="s">
        <v>12</v>
      </c>
      <c r="C265" t="s">
        <v>13</v>
      </c>
      <c r="D265">
        <v>22</v>
      </c>
      <c r="E265">
        <v>12851</v>
      </c>
      <c r="F265">
        <v>15842</v>
      </c>
      <c r="G265" t="s">
        <v>10</v>
      </c>
    </row>
    <row r="266" spans="1:7" x14ac:dyDescent="0.3">
      <c r="A266" t="s">
        <v>184</v>
      </c>
      <c r="B266" t="s">
        <v>48</v>
      </c>
      <c r="C266" t="s">
        <v>9</v>
      </c>
      <c r="D266">
        <v>20</v>
      </c>
      <c r="E266">
        <v>8592</v>
      </c>
      <c r="F266">
        <v>12248</v>
      </c>
      <c r="G266" t="s">
        <v>10</v>
      </c>
    </row>
    <row r="267" spans="1:7" x14ac:dyDescent="0.3">
      <c r="A267" t="s">
        <v>139</v>
      </c>
      <c r="B267" t="s">
        <v>29</v>
      </c>
      <c r="C267" t="s">
        <v>9</v>
      </c>
      <c r="D267">
        <v>10</v>
      </c>
      <c r="E267">
        <v>7675</v>
      </c>
      <c r="F267">
        <v>21885</v>
      </c>
      <c r="G267" t="s">
        <v>10</v>
      </c>
    </row>
    <row r="268" spans="1:7" x14ac:dyDescent="0.3">
      <c r="A268" t="s">
        <v>167</v>
      </c>
      <c r="B268" t="s">
        <v>40</v>
      </c>
      <c r="C268" t="s">
        <v>13</v>
      </c>
      <c r="D268">
        <v>10</v>
      </c>
      <c r="E268">
        <v>11290</v>
      </c>
      <c r="F268">
        <v>23341</v>
      </c>
      <c r="G268" t="s">
        <v>26</v>
      </c>
    </row>
    <row r="269" spans="1:7" x14ac:dyDescent="0.3">
      <c r="A269" t="s">
        <v>86</v>
      </c>
      <c r="B269" t="s">
        <v>101</v>
      </c>
      <c r="C269" t="s">
        <v>13</v>
      </c>
      <c r="D269">
        <v>17</v>
      </c>
      <c r="E269">
        <v>18609</v>
      </c>
      <c r="F269">
        <v>10653</v>
      </c>
      <c r="G269" t="s">
        <v>10</v>
      </c>
    </row>
    <row r="270" spans="1:7" x14ac:dyDescent="0.3">
      <c r="A270" t="s">
        <v>135</v>
      </c>
      <c r="B270" t="s">
        <v>50</v>
      </c>
      <c r="C270" t="s">
        <v>22</v>
      </c>
      <c r="D270">
        <v>7</v>
      </c>
      <c r="E270">
        <v>21675</v>
      </c>
      <c r="F270">
        <v>13765</v>
      </c>
      <c r="G270" t="s">
        <v>10</v>
      </c>
    </row>
    <row r="271" spans="1:7" x14ac:dyDescent="0.3">
      <c r="A271" t="s">
        <v>112</v>
      </c>
      <c r="B271" t="s">
        <v>19</v>
      </c>
      <c r="C271" t="s">
        <v>9</v>
      </c>
      <c r="D271">
        <v>6</v>
      </c>
      <c r="E271">
        <v>16821</v>
      </c>
      <c r="F271">
        <v>16420</v>
      </c>
      <c r="G271" t="s">
        <v>26</v>
      </c>
    </row>
    <row r="272" spans="1:7" x14ac:dyDescent="0.3">
      <c r="A272" t="s">
        <v>59</v>
      </c>
      <c r="B272" t="s">
        <v>27</v>
      </c>
      <c r="C272" t="s">
        <v>13</v>
      </c>
      <c r="D272">
        <v>18</v>
      </c>
      <c r="E272">
        <v>16935</v>
      </c>
      <c r="F272">
        <v>23608</v>
      </c>
      <c r="G272" t="s">
        <v>10</v>
      </c>
    </row>
    <row r="273" spans="1:7" x14ac:dyDescent="0.3">
      <c r="A273" t="s">
        <v>159</v>
      </c>
      <c r="B273" t="s">
        <v>79</v>
      </c>
      <c r="C273" t="s">
        <v>13</v>
      </c>
      <c r="D273">
        <v>16</v>
      </c>
      <c r="E273">
        <v>5768</v>
      </c>
      <c r="F273">
        <v>15505</v>
      </c>
      <c r="G273" t="s">
        <v>10</v>
      </c>
    </row>
    <row r="274" spans="1:7" x14ac:dyDescent="0.3">
      <c r="A274" t="s">
        <v>181</v>
      </c>
      <c r="B274" t="s">
        <v>75</v>
      </c>
      <c r="C274" t="s">
        <v>9</v>
      </c>
      <c r="D274">
        <v>19</v>
      </c>
      <c r="E274">
        <v>23247</v>
      </c>
      <c r="F274">
        <v>14564</v>
      </c>
      <c r="G274" t="s">
        <v>10</v>
      </c>
    </row>
    <row r="275" spans="1:7" x14ac:dyDescent="0.3">
      <c r="A275" t="s">
        <v>89</v>
      </c>
      <c r="B275" t="s">
        <v>15</v>
      </c>
      <c r="C275" t="s">
        <v>22</v>
      </c>
      <c r="D275">
        <v>8</v>
      </c>
      <c r="E275">
        <v>7263</v>
      </c>
      <c r="F275">
        <v>10410</v>
      </c>
      <c r="G275" t="s">
        <v>10</v>
      </c>
    </row>
    <row r="276" spans="1:7" x14ac:dyDescent="0.3">
      <c r="A276" t="s">
        <v>119</v>
      </c>
      <c r="B276" t="s">
        <v>69</v>
      </c>
      <c r="C276" t="s">
        <v>22</v>
      </c>
      <c r="D276">
        <v>21</v>
      </c>
      <c r="E276">
        <v>5656</v>
      </c>
      <c r="F276">
        <v>15626</v>
      </c>
      <c r="G276" t="s">
        <v>10</v>
      </c>
    </row>
    <row r="277" spans="1:7" x14ac:dyDescent="0.3">
      <c r="A277" t="s">
        <v>114</v>
      </c>
      <c r="B277" t="s">
        <v>29</v>
      </c>
      <c r="C277" t="s">
        <v>9</v>
      </c>
      <c r="D277">
        <v>25</v>
      </c>
      <c r="E277">
        <v>19006</v>
      </c>
      <c r="F277">
        <v>10602</v>
      </c>
      <c r="G277" t="s">
        <v>26</v>
      </c>
    </row>
    <row r="278" spans="1:7" x14ac:dyDescent="0.3">
      <c r="A278" t="s">
        <v>168</v>
      </c>
      <c r="B278" t="s">
        <v>73</v>
      </c>
      <c r="C278" t="s">
        <v>9</v>
      </c>
      <c r="D278">
        <v>12</v>
      </c>
      <c r="E278">
        <v>25416</v>
      </c>
      <c r="F278">
        <v>20330</v>
      </c>
      <c r="G278" t="s">
        <v>10</v>
      </c>
    </row>
    <row r="279" spans="1:7" x14ac:dyDescent="0.3">
      <c r="A279" t="s">
        <v>161</v>
      </c>
      <c r="B279" t="s">
        <v>67</v>
      </c>
      <c r="C279" t="s">
        <v>9</v>
      </c>
      <c r="D279">
        <v>10</v>
      </c>
      <c r="E279">
        <v>26192</v>
      </c>
      <c r="F279">
        <v>21134</v>
      </c>
      <c r="G279" t="s">
        <v>10</v>
      </c>
    </row>
    <row r="280" spans="1:7" x14ac:dyDescent="0.3">
      <c r="A280" t="s">
        <v>145</v>
      </c>
      <c r="B280" t="s">
        <v>33</v>
      </c>
      <c r="C280" t="s">
        <v>22</v>
      </c>
      <c r="D280">
        <v>19</v>
      </c>
      <c r="E280">
        <v>21250</v>
      </c>
      <c r="F280">
        <v>17683</v>
      </c>
      <c r="G280" t="s">
        <v>10</v>
      </c>
    </row>
    <row r="281" spans="1:7" x14ac:dyDescent="0.3">
      <c r="A281" t="s">
        <v>126</v>
      </c>
      <c r="B281" t="s">
        <v>21</v>
      </c>
      <c r="C281" t="s">
        <v>13</v>
      </c>
      <c r="D281">
        <v>5</v>
      </c>
      <c r="E281">
        <v>9108</v>
      </c>
      <c r="F281">
        <v>21966</v>
      </c>
      <c r="G281" t="s">
        <v>10</v>
      </c>
    </row>
    <row r="282" spans="1:7" x14ac:dyDescent="0.3">
      <c r="A282" t="s">
        <v>43</v>
      </c>
      <c r="B282" t="s">
        <v>29</v>
      </c>
      <c r="C282" t="s">
        <v>9</v>
      </c>
      <c r="D282">
        <v>22</v>
      </c>
      <c r="E282">
        <v>25787</v>
      </c>
      <c r="F282">
        <v>13562</v>
      </c>
      <c r="G282" t="s">
        <v>10</v>
      </c>
    </row>
    <row r="283" spans="1:7" x14ac:dyDescent="0.3">
      <c r="A283" t="s">
        <v>185</v>
      </c>
      <c r="B283" t="s">
        <v>33</v>
      </c>
      <c r="C283" t="s">
        <v>9</v>
      </c>
      <c r="D283">
        <v>8</v>
      </c>
      <c r="E283">
        <v>13403</v>
      </c>
      <c r="F283">
        <v>18455</v>
      </c>
      <c r="G283" t="s">
        <v>26</v>
      </c>
    </row>
    <row r="284" spans="1:7" x14ac:dyDescent="0.3">
      <c r="A284" t="s">
        <v>53</v>
      </c>
      <c r="B284" t="s">
        <v>33</v>
      </c>
      <c r="C284" t="s">
        <v>22</v>
      </c>
      <c r="D284">
        <v>6</v>
      </c>
      <c r="E284">
        <v>7141</v>
      </c>
      <c r="F284">
        <v>15479</v>
      </c>
      <c r="G284" t="s">
        <v>10</v>
      </c>
    </row>
    <row r="285" spans="1:7" x14ac:dyDescent="0.3">
      <c r="A285" t="s">
        <v>184</v>
      </c>
      <c r="B285" t="s">
        <v>120</v>
      </c>
      <c r="C285" t="s">
        <v>13</v>
      </c>
      <c r="D285">
        <v>20</v>
      </c>
      <c r="E285">
        <v>18897</v>
      </c>
      <c r="F285">
        <v>20711</v>
      </c>
      <c r="G285" t="s">
        <v>10</v>
      </c>
    </row>
    <row r="286" spans="1:7" x14ac:dyDescent="0.3">
      <c r="A286" t="s">
        <v>186</v>
      </c>
      <c r="B286" t="s">
        <v>31</v>
      </c>
      <c r="C286" t="s">
        <v>22</v>
      </c>
      <c r="D286">
        <v>19</v>
      </c>
      <c r="E286">
        <v>17862</v>
      </c>
      <c r="F286">
        <v>17909</v>
      </c>
      <c r="G286" t="s">
        <v>10</v>
      </c>
    </row>
    <row r="287" spans="1:7" x14ac:dyDescent="0.3">
      <c r="A287" t="s">
        <v>43</v>
      </c>
      <c r="B287" t="s">
        <v>75</v>
      </c>
      <c r="C287" t="s">
        <v>9</v>
      </c>
      <c r="D287">
        <v>24</v>
      </c>
      <c r="E287">
        <v>5005</v>
      </c>
      <c r="F287">
        <v>18188</v>
      </c>
      <c r="G287" t="s">
        <v>10</v>
      </c>
    </row>
    <row r="288" spans="1:7" x14ac:dyDescent="0.3">
      <c r="A288" t="s">
        <v>140</v>
      </c>
      <c r="B288" t="s">
        <v>50</v>
      </c>
      <c r="C288" t="s">
        <v>9</v>
      </c>
      <c r="D288">
        <v>25</v>
      </c>
      <c r="E288">
        <v>25565</v>
      </c>
      <c r="F288">
        <v>20344</v>
      </c>
      <c r="G288" t="s">
        <v>10</v>
      </c>
    </row>
    <row r="289" spans="1:7" x14ac:dyDescent="0.3">
      <c r="A289" t="s">
        <v>187</v>
      </c>
      <c r="B289" t="s">
        <v>120</v>
      </c>
      <c r="C289" t="s">
        <v>9</v>
      </c>
      <c r="D289">
        <v>17</v>
      </c>
      <c r="E289">
        <v>6662</v>
      </c>
      <c r="F289">
        <v>16229</v>
      </c>
      <c r="G289" t="s">
        <v>10</v>
      </c>
    </row>
    <row r="290" spans="1:7" x14ac:dyDescent="0.3">
      <c r="A290" t="s">
        <v>184</v>
      </c>
      <c r="B290" t="s">
        <v>46</v>
      </c>
      <c r="C290" t="s">
        <v>22</v>
      </c>
      <c r="D290">
        <v>25</v>
      </c>
      <c r="E290">
        <v>12057</v>
      </c>
      <c r="F290">
        <v>18790</v>
      </c>
      <c r="G290" t="s">
        <v>10</v>
      </c>
    </row>
    <row r="291" spans="1:7" x14ac:dyDescent="0.3">
      <c r="A291" t="s">
        <v>169</v>
      </c>
      <c r="B291" t="s">
        <v>25</v>
      </c>
      <c r="C291" t="s">
        <v>22</v>
      </c>
      <c r="D291">
        <v>6</v>
      </c>
      <c r="E291">
        <v>26623</v>
      </c>
      <c r="F291">
        <v>21933</v>
      </c>
      <c r="G291" t="s">
        <v>10</v>
      </c>
    </row>
    <row r="292" spans="1:7" x14ac:dyDescent="0.3">
      <c r="A292" t="s">
        <v>159</v>
      </c>
      <c r="B292" t="s">
        <v>33</v>
      </c>
      <c r="C292" t="s">
        <v>13</v>
      </c>
      <c r="D292">
        <v>9</v>
      </c>
      <c r="E292">
        <v>9704</v>
      </c>
      <c r="F292">
        <v>16738</v>
      </c>
      <c r="G292" t="s">
        <v>10</v>
      </c>
    </row>
    <row r="293" spans="1:7" x14ac:dyDescent="0.3">
      <c r="A293" t="s">
        <v>77</v>
      </c>
      <c r="B293" t="s">
        <v>33</v>
      </c>
      <c r="C293" t="s">
        <v>22</v>
      </c>
      <c r="D293">
        <v>5</v>
      </c>
      <c r="E293">
        <v>24188</v>
      </c>
      <c r="F293">
        <v>19556</v>
      </c>
      <c r="G293" t="s">
        <v>26</v>
      </c>
    </row>
    <row r="294" spans="1:7" x14ac:dyDescent="0.3">
      <c r="A294" t="s">
        <v>188</v>
      </c>
      <c r="B294" t="s">
        <v>27</v>
      </c>
      <c r="C294" t="s">
        <v>22</v>
      </c>
      <c r="D294">
        <v>20</v>
      </c>
      <c r="E294">
        <v>11568</v>
      </c>
      <c r="F294">
        <v>11488</v>
      </c>
      <c r="G294" t="s">
        <v>10</v>
      </c>
    </row>
    <row r="295" spans="1:7" x14ac:dyDescent="0.3">
      <c r="A295" t="s">
        <v>41</v>
      </c>
      <c r="B295" t="s">
        <v>67</v>
      </c>
      <c r="C295" t="s">
        <v>22</v>
      </c>
      <c r="D295">
        <v>7</v>
      </c>
      <c r="E295">
        <v>11203</v>
      </c>
      <c r="F295">
        <v>19828</v>
      </c>
      <c r="G295" t="s">
        <v>10</v>
      </c>
    </row>
    <row r="296" spans="1:7" x14ac:dyDescent="0.3">
      <c r="A296" t="s">
        <v>135</v>
      </c>
      <c r="B296" t="s">
        <v>29</v>
      </c>
      <c r="C296" t="s">
        <v>9</v>
      </c>
      <c r="D296">
        <v>23</v>
      </c>
      <c r="E296">
        <v>13366</v>
      </c>
      <c r="F296">
        <v>13141</v>
      </c>
      <c r="G296" t="s">
        <v>10</v>
      </c>
    </row>
    <row r="297" spans="1:7" x14ac:dyDescent="0.3">
      <c r="A297" t="s">
        <v>189</v>
      </c>
      <c r="B297" t="s">
        <v>33</v>
      </c>
      <c r="C297" t="s">
        <v>13</v>
      </c>
      <c r="D297">
        <v>20</v>
      </c>
      <c r="E297">
        <v>7014</v>
      </c>
      <c r="F297">
        <v>10110</v>
      </c>
      <c r="G297" t="s">
        <v>10</v>
      </c>
    </row>
    <row r="298" spans="1:7" x14ac:dyDescent="0.3">
      <c r="A298" t="s">
        <v>98</v>
      </c>
      <c r="B298" t="s">
        <v>48</v>
      </c>
      <c r="C298" t="s">
        <v>13</v>
      </c>
      <c r="D298">
        <v>24</v>
      </c>
      <c r="E298">
        <v>20202</v>
      </c>
      <c r="F298">
        <v>13191</v>
      </c>
      <c r="G298" t="s">
        <v>10</v>
      </c>
    </row>
    <row r="299" spans="1:7" x14ac:dyDescent="0.3">
      <c r="A299" t="s">
        <v>144</v>
      </c>
      <c r="B299" t="s">
        <v>69</v>
      </c>
      <c r="C299" t="s">
        <v>9</v>
      </c>
      <c r="D299">
        <v>21</v>
      </c>
      <c r="E299">
        <v>24124</v>
      </c>
      <c r="F299">
        <v>24104</v>
      </c>
      <c r="G299" t="s">
        <v>10</v>
      </c>
    </row>
    <row r="300" spans="1:7" x14ac:dyDescent="0.3">
      <c r="A300" t="s">
        <v>190</v>
      </c>
      <c r="B300" t="s">
        <v>52</v>
      </c>
      <c r="C300" t="s">
        <v>22</v>
      </c>
      <c r="D300">
        <v>25</v>
      </c>
      <c r="E300">
        <v>25667</v>
      </c>
      <c r="F300">
        <v>11670</v>
      </c>
      <c r="G300" t="s">
        <v>10</v>
      </c>
    </row>
    <row r="301" spans="1:7" x14ac:dyDescent="0.3">
      <c r="A301" t="s">
        <v>125</v>
      </c>
      <c r="B301" t="s">
        <v>46</v>
      </c>
      <c r="C301" t="s">
        <v>22</v>
      </c>
      <c r="D301">
        <v>10</v>
      </c>
      <c r="E301">
        <v>27214</v>
      </c>
      <c r="F301">
        <v>22393</v>
      </c>
      <c r="G301" t="s">
        <v>10</v>
      </c>
    </row>
    <row r="302" spans="1:7" x14ac:dyDescent="0.3">
      <c r="A302" t="s">
        <v>191</v>
      </c>
      <c r="B302" t="s">
        <v>37</v>
      </c>
      <c r="C302" t="s">
        <v>22</v>
      </c>
      <c r="D302">
        <v>16</v>
      </c>
      <c r="E302">
        <v>11951</v>
      </c>
      <c r="F302">
        <v>24652</v>
      </c>
      <c r="G302" t="s">
        <v>10</v>
      </c>
    </row>
    <row r="303" spans="1:7" x14ac:dyDescent="0.3">
      <c r="A303" t="s">
        <v>192</v>
      </c>
      <c r="B303" t="s">
        <v>64</v>
      </c>
      <c r="C303" t="s">
        <v>13</v>
      </c>
      <c r="D303">
        <v>13</v>
      </c>
      <c r="E303">
        <v>6913</v>
      </c>
      <c r="F303">
        <v>12659</v>
      </c>
      <c r="G303" t="s">
        <v>10</v>
      </c>
    </row>
    <row r="304" spans="1:7" x14ac:dyDescent="0.3">
      <c r="A304" t="s">
        <v>109</v>
      </c>
      <c r="B304" t="s">
        <v>120</v>
      </c>
      <c r="C304" t="s">
        <v>9</v>
      </c>
      <c r="D304">
        <v>24</v>
      </c>
      <c r="E304">
        <v>28279</v>
      </c>
      <c r="F304">
        <v>20824</v>
      </c>
      <c r="G304" t="s">
        <v>10</v>
      </c>
    </row>
    <row r="305" spans="1:7" x14ac:dyDescent="0.3">
      <c r="A305" t="s">
        <v>24</v>
      </c>
      <c r="B305" t="s">
        <v>75</v>
      </c>
      <c r="C305" t="s">
        <v>9</v>
      </c>
      <c r="D305">
        <v>24</v>
      </c>
      <c r="E305">
        <v>6719</v>
      </c>
      <c r="F305">
        <v>12336</v>
      </c>
      <c r="G305" t="s">
        <v>26</v>
      </c>
    </row>
    <row r="306" spans="1:7" x14ac:dyDescent="0.3">
      <c r="A306" t="s">
        <v>128</v>
      </c>
      <c r="B306" t="s">
        <v>92</v>
      </c>
      <c r="C306" t="s">
        <v>13</v>
      </c>
      <c r="D306">
        <v>22</v>
      </c>
      <c r="E306">
        <v>25993</v>
      </c>
      <c r="F306">
        <v>15588</v>
      </c>
      <c r="G306" t="s">
        <v>10</v>
      </c>
    </row>
    <row r="307" spans="1:7" x14ac:dyDescent="0.3">
      <c r="A307" t="s">
        <v>157</v>
      </c>
      <c r="B307" t="s">
        <v>17</v>
      </c>
      <c r="C307" t="s">
        <v>9</v>
      </c>
      <c r="D307">
        <v>20</v>
      </c>
      <c r="E307">
        <v>7977</v>
      </c>
      <c r="F307">
        <v>23647</v>
      </c>
      <c r="G307" t="s">
        <v>10</v>
      </c>
    </row>
    <row r="308" spans="1:7" x14ac:dyDescent="0.3">
      <c r="A308" t="s">
        <v>41</v>
      </c>
      <c r="B308" t="s">
        <v>75</v>
      </c>
      <c r="C308" t="s">
        <v>13</v>
      </c>
      <c r="D308">
        <v>7</v>
      </c>
      <c r="E308">
        <v>20678</v>
      </c>
      <c r="F308">
        <v>20175</v>
      </c>
      <c r="G308" t="s">
        <v>26</v>
      </c>
    </row>
    <row r="309" spans="1:7" x14ac:dyDescent="0.3">
      <c r="A309" t="s">
        <v>7</v>
      </c>
      <c r="B309" t="s">
        <v>12</v>
      </c>
      <c r="C309" t="s">
        <v>9</v>
      </c>
      <c r="D309">
        <v>9</v>
      </c>
      <c r="E309">
        <v>25660</v>
      </c>
      <c r="F309">
        <v>10022</v>
      </c>
      <c r="G309" t="s">
        <v>10</v>
      </c>
    </row>
    <row r="310" spans="1:7" x14ac:dyDescent="0.3">
      <c r="A310" t="s">
        <v>163</v>
      </c>
      <c r="B310" t="s">
        <v>27</v>
      </c>
      <c r="C310" t="s">
        <v>9</v>
      </c>
      <c r="D310">
        <v>24</v>
      </c>
      <c r="E310">
        <v>10479</v>
      </c>
      <c r="F310">
        <v>15312</v>
      </c>
      <c r="G310" t="s">
        <v>10</v>
      </c>
    </row>
    <row r="311" spans="1:7" x14ac:dyDescent="0.3">
      <c r="A311" t="s">
        <v>68</v>
      </c>
      <c r="B311" t="s">
        <v>67</v>
      </c>
      <c r="C311" t="s">
        <v>22</v>
      </c>
      <c r="D311">
        <v>25</v>
      </c>
      <c r="E311">
        <v>12304</v>
      </c>
      <c r="F311">
        <v>23982</v>
      </c>
      <c r="G311" t="s">
        <v>10</v>
      </c>
    </row>
    <row r="312" spans="1:7" x14ac:dyDescent="0.3">
      <c r="A312" t="s">
        <v>193</v>
      </c>
      <c r="B312" t="s">
        <v>52</v>
      </c>
      <c r="C312" t="s">
        <v>22</v>
      </c>
      <c r="D312">
        <v>17</v>
      </c>
      <c r="E312">
        <v>23293</v>
      </c>
      <c r="F312">
        <v>16208</v>
      </c>
      <c r="G312" t="s">
        <v>10</v>
      </c>
    </row>
    <row r="313" spans="1:7" x14ac:dyDescent="0.3">
      <c r="A313" t="s">
        <v>74</v>
      </c>
      <c r="B313" t="s">
        <v>79</v>
      </c>
      <c r="C313" t="s">
        <v>22</v>
      </c>
      <c r="D313">
        <v>9</v>
      </c>
      <c r="E313">
        <v>5299</v>
      </c>
      <c r="F313">
        <v>21941</v>
      </c>
      <c r="G313" t="s">
        <v>10</v>
      </c>
    </row>
    <row r="314" spans="1:7" x14ac:dyDescent="0.3">
      <c r="A314" t="s">
        <v>47</v>
      </c>
      <c r="B314" t="s">
        <v>101</v>
      </c>
      <c r="C314" t="s">
        <v>22</v>
      </c>
      <c r="D314">
        <v>10</v>
      </c>
      <c r="E314">
        <v>14262</v>
      </c>
      <c r="F314">
        <v>18346</v>
      </c>
      <c r="G314" t="s">
        <v>10</v>
      </c>
    </row>
    <row r="315" spans="1:7" x14ac:dyDescent="0.3">
      <c r="A315" t="s">
        <v>131</v>
      </c>
      <c r="B315" t="s">
        <v>35</v>
      </c>
      <c r="C315" t="s">
        <v>22</v>
      </c>
      <c r="D315">
        <v>5</v>
      </c>
      <c r="E315">
        <v>7680</v>
      </c>
      <c r="F315">
        <v>21003</v>
      </c>
      <c r="G315" t="s">
        <v>10</v>
      </c>
    </row>
    <row r="316" spans="1:7" x14ac:dyDescent="0.3">
      <c r="A316" t="s">
        <v>183</v>
      </c>
      <c r="B316" t="s">
        <v>52</v>
      </c>
      <c r="C316" t="s">
        <v>9</v>
      </c>
      <c r="D316">
        <v>25</v>
      </c>
      <c r="E316">
        <v>18641</v>
      </c>
      <c r="F316">
        <v>20905</v>
      </c>
      <c r="G316" t="s">
        <v>10</v>
      </c>
    </row>
    <row r="317" spans="1:7" x14ac:dyDescent="0.3">
      <c r="A317" t="s">
        <v>89</v>
      </c>
      <c r="B317" t="s">
        <v>42</v>
      </c>
      <c r="C317" t="s">
        <v>9</v>
      </c>
      <c r="D317">
        <v>17</v>
      </c>
      <c r="E317">
        <v>23077</v>
      </c>
      <c r="F317">
        <v>16649</v>
      </c>
      <c r="G317" t="s">
        <v>10</v>
      </c>
    </row>
    <row r="318" spans="1:7" x14ac:dyDescent="0.3">
      <c r="A318" t="s">
        <v>38</v>
      </c>
      <c r="B318" t="s">
        <v>75</v>
      </c>
      <c r="C318" t="s">
        <v>13</v>
      </c>
      <c r="D318">
        <v>9</v>
      </c>
      <c r="E318">
        <v>15365</v>
      </c>
      <c r="F318">
        <v>11745</v>
      </c>
      <c r="G318" t="s">
        <v>10</v>
      </c>
    </row>
    <row r="319" spans="1:7" x14ac:dyDescent="0.3">
      <c r="A319" t="s">
        <v>184</v>
      </c>
      <c r="B319" t="s">
        <v>120</v>
      </c>
      <c r="C319" t="s">
        <v>9</v>
      </c>
      <c r="D319">
        <v>13</v>
      </c>
      <c r="E319">
        <v>12518</v>
      </c>
      <c r="F319">
        <v>14372</v>
      </c>
      <c r="G319" t="s">
        <v>26</v>
      </c>
    </row>
    <row r="320" spans="1:7" x14ac:dyDescent="0.3">
      <c r="A320" t="s">
        <v>176</v>
      </c>
      <c r="B320" t="s">
        <v>101</v>
      </c>
      <c r="C320" t="s">
        <v>22</v>
      </c>
      <c r="D320">
        <v>6</v>
      </c>
      <c r="E320">
        <v>6066</v>
      </c>
      <c r="F320">
        <v>12849</v>
      </c>
      <c r="G320" t="s">
        <v>10</v>
      </c>
    </row>
    <row r="321" spans="1:7" x14ac:dyDescent="0.3">
      <c r="A321" t="s">
        <v>194</v>
      </c>
      <c r="B321" t="s">
        <v>31</v>
      </c>
      <c r="C321" t="s">
        <v>22</v>
      </c>
      <c r="D321">
        <v>18</v>
      </c>
      <c r="E321">
        <v>6496</v>
      </c>
      <c r="F321">
        <v>17434</v>
      </c>
      <c r="G321" t="s">
        <v>26</v>
      </c>
    </row>
    <row r="322" spans="1:7" x14ac:dyDescent="0.3">
      <c r="A322" t="s">
        <v>178</v>
      </c>
      <c r="B322" t="s">
        <v>56</v>
      </c>
      <c r="C322" t="s">
        <v>13</v>
      </c>
      <c r="D322">
        <v>20</v>
      </c>
      <c r="E322">
        <v>15418</v>
      </c>
      <c r="F322">
        <v>13208</v>
      </c>
      <c r="G322" t="s">
        <v>10</v>
      </c>
    </row>
    <row r="323" spans="1:7" x14ac:dyDescent="0.3">
      <c r="A323" t="s">
        <v>116</v>
      </c>
      <c r="B323" t="s">
        <v>29</v>
      </c>
      <c r="C323" t="s">
        <v>9</v>
      </c>
      <c r="D323">
        <v>10</v>
      </c>
      <c r="E323">
        <v>26292</v>
      </c>
      <c r="F323">
        <v>17510</v>
      </c>
      <c r="G323" t="s">
        <v>10</v>
      </c>
    </row>
    <row r="324" spans="1:7" x14ac:dyDescent="0.3">
      <c r="A324" t="s">
        <v>190</v>
      </c>
      <c r="B324" t="s">
        <v>17</v>
      </c>
      <c r="C324" t="s">
        <v>13</v>
      </c>
      <c r="D324">
        <v>5</v>
      </c>
      <c r="E324">
        <v>16668</v>
      </c>
      <c r="F324">
        <v>21092</v>
      </c>
      <c r="G324" t="s">
        <v>10</v>
      </c>
    </row>
    <row r="325" spans="1:7" x14ac:dyDescent="0.3">
      <c r="A325" t="s">
        <v>18</v>
      </c>
      <c r="B325" t="s">
        <v>31</v>
      </c>
      <c r="C325" t="s">
        <v>9</v>
      </c>
      <c r="D325">
        <v>5</v>
      </c>
      <c r="E325">
        <v>29794</v>
      </c>
      <c r="F325">
        <v>24218</v>
      </c>
      <c r="G325" t="s">
        <v>10</v>
      </c>
    </row>
    <row r="326" spans="1:7" x14ac:dyDescent="0.3">
      <c r="A326" t="s">
        <v>195</v>
      </c>
      <c r="B326" t="s">
        <v>8</v>
      </c>
      <c r="C326" t="s">
        <v>22</v>
      </c>
      <c r="D326">
        <v>6</v>
      </c>
      <c r="E326">
        <v>16966</v>
      </c>
      <c r="F326">
        <v>18850</v>
      </c>
      <c r="G326" t="s">
        <v>10</v>
      </c>
    </row>
    <row r="327" spans="1:7" x14ac:dyDescent="0.3">
      <c r="A327" t="s">
        <v>118</v>
      </c>
      <c r="B327" t="s">
        <v>54</v>
      </c>
      <c r="C327" t="s">
        <v>9</v>
      </c>
      <c r="D327">
        <v>6</v>
      </c>
      <c r="E327">
        <v>10090</v>
      </c>
      <c r="F327">
        <v>23778</v>
      </c>
      <c r="G327" t="s">
        <v>10</v>
      </c>
    </row>
    <row r="328" spans="1:7" x14ac:dyDescent="0.3">
      <c r="A328" t="s">
        <v>196</v>
      </c>
      <c r="B328" t="s">
        <v>46</v>
      </c>
      <c r="C328" t="s">
        <v>22</v>
      </c>
      <c r="D328">
        <v>20</v>
      </c>
      <c r="E328">
        <v>18412</v>
      </c>
      <c r="F328">
        <v>15959</v>
      </c>
      <c r="G328" t="s">
        <v>10</v>
      </c>
    </row>
    <row r="329" spans="1:7" x14ac:dyDescent="0.3">
      <c r="A329" t="s">
        <v>138</v>
      </c>
      <c r="B329" t="s">
        <v>50</v>
      </c>
      <c r="C329" t="s">
        <v>22</v>
      </c>
      <c r="D329">
        <v>14</v>
      </c>
      <c r="E329">
        <v>9047</v>
      </c>
      <c r="F329">
        <v>13261</v>
      </c>
      <c r="G329" t="s">
        <v>10</v>
      </c>
    </row>
    <row r="330" spans="1:7" x14ac:dyDescent="0.3">
      <c r="A330" t="s">
        <v>125</v>
      </c>
      <c r="B330" t="s">
        <v>42</v>
      </c>
      <c r="C330" t="s">
        <v>13</v>
      </c>
      <c r="D330">
        <v>25</v>
      </c>
      <c r="E330">
        <v>16178</v>
      </c>
      <c r="F330">
        <v>22846</v>
      </c>
      <c r="G330" t="s">
        <v>10</v>
      </c>
    </row>
    <row r="331" spans="1:7" x14ac:dyDescent="0.3">
      <c r="A331" t="s">
        <v>18</v>
      </c>
      <c r="B331" t="s">
        <v>29</v>
      </c>
      <c r="C331" t="s">
        <v>13</v>
      </c>
      <c r="D331">
        <v>17</v>
      </c>
      <c r="E331">
        <v>18351</v>
      </c>
      <c r="F331">
        <v>21604</v>
      </c>
      <c r="G331" t="s">
        <v>10</v>
      </c>
    </row>
    <row r="332" spans="1:7" x14ac:dyDescent="0.3">
      <c r="A332" t="s">
        <v>135</v>
      </c>
      <c r="B332" t="s">
        <v>120</v>
      </c>
      <c r="C332" t="s">
        <v>22</v>
      </c>
      <c r="D332">
        <v>22</v>
      </c>
      <c r="E332">
        <v>21710</v>
      </c>
      <c r="F332">
        <v>15519</v>
      </c>
      <c r="G332" t="s">
        <v>10</v>
      </c>
    </row>
    <row r="333" spans="1:7" x14ac:dyDescent="0.3">
      <c r="A333" t="s">
        <v>83</v>
      </c>
      <c r="B333" t="s">
        <v>37</v>
      </c>
      <c r="C333" t="s">
        <v>13</v>
      </c>
      <c r="D333">
        <v>19</v>
      </c>
      <c r="E333">
        <v>15001</v>
      </c>
      <c r="F333">
        <v>16812</v>
      </c>
      <c r="G333" t="s">
        <v>10</v>
      </c>
    </row>
    <row r="334" spans="1:7" x14ac:dyDescent="0.3">
      <c r="A334" t="s">
        <v>11</v>
      </c>
      <c r="B334" t="s">
        <v>12</v>
      </c>
      <c r="C334" t="s">
        <v>13</v>
      </c>
      <c r="D334">
        <v>10</v>
      </c>
      <c r="E334">
        <v>26588</v>
      </c>
      <c r="F334">
        <v>18755</v>
      </c>
      <c r="G334" t="s">
        <v>10</v>
      </c>
    </row>
    <row r="335" spans="1:7" x14ac:dyDescent="0.3">
      <c r="A335" t="s">
        <v>197</v>
      </c>
      <c r="B335" t="s">
        <v>79</v>
      </c>
      <c r="C335" t="s">
        <v>13</v>
      </c>
      <c r="D335">
        <v>21</v>
      </c>
      <c r="E335">
        <v>20659</v>
      </c>
      <c r="F335">
        <v>13966</v>
      </c>
      <c r="G335" t="s">
        <v>10</v>
      </c>
    </row>
    <row r="336" spans="1:7" x14ac:dyDescent="0.3">
      <c r="A336" t="s">
        <v>78</v>
      </c>
      <c r="B336" t="s">
        <v>50</v>
      </c>
      <c r="C336" t="s">
        <v>22</v>
      </c>
      <c r="D336">
        <v>24</v>
      </c>
      <c r="E336">
        <v>22434</v>
      </c>
      <c r="F336">
        <v>20055</v>
      </c>
      <c r="G336" t="s">
        <v>10</v>
      </c>
    </row>
    <row r="337" spans="1:7" x14ac:dyDescent="0.3">
      <c r="A337" t="s">
        <v>140</v>
      </c>
      <c r="B337" t="s">
        <v>21</v>
      </c>
      <c r="C337" t="s">
        <v>9</v>
      </c>
      <c r="D337">
        <v>24</v>
      </c>
      <c r="E337">
        <v>14868</v>
      </c>
      <c r="F337">
        <v>13372</v>
      </c>
      <c r="G337" t="s">
        <v>10</v>
      </c>
    </row>
    <row r="338" spans="1:7" x14ac:dyDescent="0.3">
      <c r="A338" t="s">
        <v>38</v>
      </c>
      <c r="B338" t="s">
        <v>37</v>
      </c>
      <c r="C338" t="s">
        <v>22</v>
      </c>
      <c r="D338">
        <v>19</v>
      </c>
      <c r="E338">
        <v>25879</v>
      </c>
      <c r="F338">
        <v>19055</v>
      </c>
      <c r="G338" t="s">
        <v>10</v>
      </c>
    </row>
    <row r="339" spans="1:7" x14ac:dyDescent="0.3">
      <c r="A339" t="s">
        <v>173</v>
      </c>
      <c r="B339" t="s">
        <v>21</v>
      </c>
      <c r="C339" t="s">
        <v>9</v>
      </c>
      <c r="D339">
        <v>14</v>
      </c>
      <c r="E339">
        <v>8380</v>
      </c>
      <c r="F339">
        <v>21013</v>
      </c>
      <c r="G339" t="s">
        <v>10</v>
      </c>
    </row>
    <row r="340" spans="1:7" x14ac:dyDescent="0.3">
      <c r="A340" t="s">
        <v>169</v>
      </c>
      <c r="B340" t="s">
        <v>69</v>
      </c>
      <c r="C340" t="s">
        <v>13</v>
      </c>
      <c r="D340">
        <v>10</v>
      </c>
      <c r="E340">
        <v>9157</v>
      </c>
      <c r="F340">
        <v>11620</v>
      </c>
      <c r="G340" t="s">
        <v>26</v>
      </c>
    </row>
    <row r="341" spans="1:7" x14ac:dyDescent="0.3">
      <c r="A341" t="s">
        <v>124</v>
      </c>
      <c r="B341" t="s">
        <v>64</v>
      </c>
      <c r="C341" t="s">
        <v>13</v>
      </c>
      <c r="D341">
        <v>15</v>
      </c>
      <c r="E341">
        <v>16175</v>
      </c>
      <c r="F341">
        <v>10484</v>
      </c>
      <c r="G341" t="s">
        <v>10</v>
      </c>
    </row>
    <row r="342" spans="1:7" x14ac:dyDescent="0.3">
      <c r="A342" t="s">
        <v>14</v>
      </c>
      <c r="B342" t="s">
        <v>27</v>
      </c>
      <c r="C342" t="s">
        <v>22</v>
      </c>
      <c r="D342">
        <v>14</v>
      </c>
      <c r="E342">
        <v>20008</v>
      </c>
      <c r="F342">
        <v>19931</v>
      </c>
      <c r="G342" t="s">
        <v>10</v>
      </c>
    </row>
    <row r="343" spans="1:7" x14ac:dyDescent="0.3">
      <c r="A343" t="s">
        <v>93</v>
      </c>
      <c r="B343" t="s">
        <v>48</v>
      </c>
      <c r="C343" t="s">
        <v>22</v>
      </c>
      <c r="D343">
        <v>21</v>
      </c>
      <c r="E343">
        <v>21644</v>
      </c>
      <c r="F343">
        <v>22960</v>
      </c>
      <c r="G343" t="s">
        <v>10</v>
      </c>
    </row>
    <row r="344" spans="1:7" x14ac:dyDescent="0.3">
      <c r="A344" t="s">
        <v>185</v>
      </c>
      <c r="B344" t="s">
        <v>69</v>
      </c>
      <c r="C344" t="s">
        <v>22</v>
      </c>
      <c r="D344">
        <v>6</v>
      </c>
      <c r="E344">
        <v>27145</v>
      </c>
      <c r="F344">
        <v>20944</v>
      </c>
      <c r="G344" t="s">
        <v>10</v>
      </c>
    </row>
    <row r="345" spans="1:7" x14ac:dyDescent="0.3">
      <c r="A345" t="s">
        <v>121</v>
      </c>
      <c r="B345" t="s">
        <v>35</v>
      </c>
      <c r="C345" t="s">
        <v>13</v>
      </c>
      <c r="D345">
        <v>16</v>
      </c>
      <c r="E345">
        <v>18673</v>
      </c>
      <c r="F345">
        <v>17759</v>
      </c>
      <c r="G345" t="s">
        <v>10</v>
      </c>
    </row>
    <row r="346" spans="1:7" x14ac:dyDescent="0.3">
      <c r="A346" t="s">
        <v>119</v>
      </c>
      <c r="B346" t="s">
        <v>29</v>
      </c>
      <c r="C346" t="s">
        <v>9</v>
      </c>
      <c r="D346">
        <v>25</v>
      </c>
      <c r="E346">
        <v>10466</v>
      </c>
      <c r="F346">
        <v>13494</v>
      </c>
      <c r="G346" t="s">
        <v>10</v>
      </c>
    </row>
    <row r="347" spans="1:7" x14ac:dyDescent="0.3">
      <c r="A347" t="s">
        <v>110</v>
      </c>
      <c r="B347" t="s">
        <v>37</v>
      </c>
      <c r="C347" t="s">
        <v>9</v>
      </c>
      <c r="D347">
        <v>25</v>
      </c>
      <c r="E347">
        <v>9063</v>
      </c>
      <c r="F347">
        <v>20162</v>
      </c>
      <c r="G347" t="s">
        <v>10</v>
      </c>
    </row>
    <row r="348" spans="1:7" x14ac:dyDescent="0.3">
      <c r="A348" t="s">
        <v>57</v>
      </c>
      <c r="B348" t="s">
        <v>54</v>
      </c>
      <c r="C348" t="s">
        <v>9</v>
      </c>
      <c r="D348">
        <v>18</v>
      </c>
      <c r="E348">
        <v>28896</v>
      </c>
      <c r="F348">
        <v>23228</v>
      </c>
      <c r="G348" t="s">
        <v>10</v>
      </c>
    </row>
    <row r="349" spans="1:7" x14ac:dyDescent="0.3">
      <c r="A349" t="s">
        <v>160</v>
      </c>
      <c r="B349" t="s">
        <v>21</v>
      </c>
      <c r="C349" t="s">
        <v>13</v>
      </c>
      <c r="D349">
        <v>7</v>
      </c>
      <c r="E349">
        <v>14486</v>
      </c>
      <c r="F349">
        <v>15453</v>
      </c>
      <c r="G349" t="s">
        <v>10</v>
      </c>
    </row>
    <row r="350" spans="1:7" x14ac:dyDescent="0.3">
      <c r="A350" t="s">
        <v>169</v>
      </c>
      <c r="B350" t="s">
        <v>79</v>
      </c>
      <c r="C350" t="s">
        <v>13</v>
      </c>
      <c r="D350">
        <v>25</v>
      </c>
      <c r="E350">
        <v>27913</v>
      </c>
      <c r="F350">
        <v>20386</v>
      </c>
      <c r="G350" t="s">
        <v>10</v>
      </c>
    </row>
    <row r="351" spans="1:7" x14ac:dyDescent="0.3">
      <c r="A351" t="s">
        <v>194</v>
      </c>
      <c r="B351" t="s">
        <v>17</v>
      </c>
      <c r="C351" t="s">
        <v>22</v>
      </c>
      <c r="D351">
        <v>20</v>
      </c>
      <c r="E351">
        <v>25442</v>
      </c>
      <c r="F351">
        <v>15638</v>
      </c>
      <c r="G351" t="s">
        <v>10</v>
      </c>
    </row>
    <row r="352" spans="1:7" x14ac:dyDescent="0.3">
      <c r="A352" t="s">
        <v>14</v>
      </c>
      <c r="B352" t="s">
        <v>73</v>
      </c>
      <c r="C352" t="s">
        <v>13</v>
      </c>
      <c r="D352">
        <v>20</v>
      </c>
      <c r="E352">
        <v>16904</v>
      </c>
      <c r="F352">
        <v>23235</v>
      </c>
      <c r="G352" t="s">
        <v>26</v>
      </c>
    </row>
    <row r="353" spans="1:7" x14ac:dyDescent="0.3">
      <c r="A353" t="s">
        <v>160</v>
      </c>
      <c r="B353" t="s">
        <v>75</v>
      </c>
      <c r="C353" t="s">
        <v>22</v>
      </c>
      <c r="D353">
        <v>10</v>
      </c>
      <c r="E353">
        <v>27240</v>
      </c>
      <c r="F353">
        <v>10960</v>
      </c>
      <c r="G353" t="s">
        <v>26</v>
      </c>
    </row>
    <row r="354" spans="1:7" x14ac:dyDescent="0.3">
      <c r="A354" t="s">
        <v>24</v>
      </c>
      <c r="B354" t="s">
        <v>8</v>
      </c>
      <c r="C354" t="s">
        <v>22</v>
      </c>
      <c r="D354">
        <v>20</v>
      </c>
      <c r="E354">
        <v>15633</v>
      </c>
      <c r="F354">
        <v>23133</v>
      </c>
      <c r="G354" t="s">
        <v>10</v>
      </c>
    </row>
    <row r="355" spans="1:7" x14ac:dyDescent="0.3">
      <c r="A355" t="s">
        <v>18</v>
      </c>
      <c r="B355" t="s">
        <v>35</v>
      </c>
      <c r="C355" t="s">
        <v>13</v>
      </c>
      <c r="D355">
        <v>23</v>
      </c>
      <c r="E355">
        <v>25230</v>
      </c>
      <c r="F355">
        <v>21768</v>
      </c>
      <c r="G355" t="s">
        <v>10</v>
      </c>
    </row>
    <row r="356" spans="1:7" x14ac:dyDescent="0.3">
      <c r="A356" t="s">
        <v>109</v>
      </c>
      <c r="B356" t="s">
        <v>120</v>
      </c>
      <c r="C356" t="s">
        <v>22</v>
      </c>
      <c r="D356">
        <v>11</v>
      </c>
      <c r="E356">
        <v>6272</v>
      </c>
      <c r="F356">
        <v>12865</v>
      </c>
      <c r="G356" t="s">
        <v>10</v>
      </c>
    </row>
    <row r="357" spans="1:7" x14ac:dyDescent="0.3">
      <c r="A357" t="s">
        <v>30</v>
      </c>
      <c r="B357" t="s">
        <v>73</v>
      </c>
      <c r="C357" t="s">
        <v>9</v>
      </c>
      <c r="D357">
        <v>20</v>
      </c>
      <c r="E357">
        <v>13293</v>
      </c>
      <c r="F357">
        <v>10756</v>
      </c>
      <c r="G357" t="s">
        <v>10</v>
      </c>
    </row>
    <row r="358" spans="1:7" x14ac:dyDescent="0.3">
      <c r="A358" t="s">
        <v>188</v>
      </c>
      <c r="B358" t="s">
        <v>50</v>
      </c>
      <c r="C358" t="s">
        <v>22</v>
      </c>
      <c r="D358">
        <v>10</v>
      </c>
      <c r="E358">
        <v>18359</v>
      </c>
      <c r="F358">
        <v>20618</v>
      </c>
      <c r="G358" t="s">
        <v>26</v>
      </c>
    </row>
    <row r="359" spans="1:7" x14ac:dyDescent="0.3">
      <c r="A359" t="s">
        <v>161</v>
      </c>
      <c r="B359" t="s">
        <v>46</v>
      </c>
      <c r="C359" t="s">
        <v>22</v>
      </c>
      <c r="D359">
        <v>14</v>
      </c>
      <c r="E359">
        <v>17958</v>
      </c>
      <c r="F359">
        <v>23665</v>
      </c>
      <c r="G359" t="s">
        <v>10</v>
      </c>
    </row>
    <row r="360" spans="1:7" x14ac:dyDescent="0.3">
      <c r="A360" t="s">
        <v>198</v>
      </c>
      <c r="B360" t="s">
        <v>25</v>
      </c>
      <c r="C360" t="s">
        <v>9</v>
      </c>
      <c r="D360">
        <v>20</v>
      </c>
      <c r="E360">
        <v>17640</v>
      </c>
      <c r="F360">
        <v>20754</v>
      </c>
      <c r="G360" t="s">
        <v>10</v>
      </c>
    </row>
    <row r="361" spans="1:7" x14ac:dyDescent="0.3">
      <c r="A361" t="s">
        <v>140</v>
      </c>
      <c r="B361" t="s">
        <v>31</v>
      </c>
      <c r="C361" t="s">
        <v>13</v>
      </c>
      <c r="D361">
        <v>11</v>
      </c>
      <c r="E361">
        <v>19004</v>
      </c>
      <c r="F361">
        <v>22442</v>
      </c>
      <c r="G361" t="s">
        <v>10</v>
      </c>
    </row>
    <row r="362" spans="1:7" x14ac:dyDescent="0.3">
      <c r="A362" t="s">
        <v>59</v>
      </c>
      <c r="B362" t="s">
        <v>50</v>
      </c>
      <c r="C362" t="s">
        <v>13</v>
      </c>
      <c r="D362">
        <v>20</v>
      </c>
      <c r="E362">
        <v>9920</v>
      </c>
      <c r="F362">
        <v>24842</v>
      </c>
      <c r="G362" t="s">
        <v>10</v>
      </c>
    </row>
    <row r="363" spans="1:7" x14ac:dyDescent="0.3">
      <c r="A363" t="s">
        <v>174</v>
      </c>
      <c r="B363" t="s">
        <v>67</v>
      </c>
      <c r="C363" t="s">
        <v>13</v>
      </c>
      <c r="D363">
        <v>6</v>
      </c>
      <c r="E363">
        <v>13632</v>
      </c>
      <c r="F363">
        <v>24985</v>
      </c>
      <c r="G363" t="s">
        <v>10</v>
      </c>
    </row>
    <row r="364" spans="1:7" x14ac:dyDescent="0.3">
      <c r="A364" t="s">
        <v>188</v>
      </c>
      <c r="B364" t="s">
        <v>42</v>
      </c>
      <c r="C364" t="s">
        <v>13</v>
      </c>
      <c r="D364">
        <v>7</v>
      </c>
      <c r="E364">
        <v>20780</v>
      </c>
      <c r="F364">
        <v>21762</v>
      </c>
      <c r="G364" t="s">
        <v>10</v>
      </c>
    </row>
    <row r="365" spans="1:7" x14ac:dyDescent="0.3">
      <c r="A365" t="s">
        <v>95</v>
      </c>
      <c r="B365" t="s">
        <v>92</v>
      </c>
      <c r="C365" t="s">
        <v>22</v>
      </c>
      <c r="D365">
        <v>20</v>
      </c>
      <c r="E365">
        <v>18555</v>
      </c>
      <c r="F365">
        <v>16278</v>
      </c>
      <c r="G365" t="s">
        <v>10</v>
      </c>
    </row>
    <row r="366" spans="1:7" x14ac:dyDescent="0.3">
      <c r="A366" t="s">
        <v>148</v>
      </c>
      <c r="B366" t="s">
        <v>64</v>
      </c>
      <c r="C366" t="s">
        <v>22</v>
      </c>
      <c r="D366">
        <v>24</v>
      </c>
      <c r="E366">
        <v>15812</v>
      </c>
      <c r="F366">
        <v>13500</v>
      </c>
      <c r="G366" t="s">
        <v>10</v>
      </c>
    </row>
    <row r="367" spans="1:7" x14ac:dyDescent="0.3">
      <c r="A367" t="s">
        <v>182</v>
      </c>
      <c r="B367" t="s">
        <v>92</v>
      </c>
      <c r="C367" t="s">
        <v>22</v>
      </c>
      <c r="D367">
        <v>15</v>
      </c>
      <c r="E367">
        <v>8008</v>
      </c>
      <c r="F367">
        <v>23438</v>
      </c>
      <c r="G367" t="s">
        <v>10</v>
      </c>
    </row>
    <row r="368" spans="1:7" x14ac:dyDescent="0.3">
      <c r="A368" t="s">
        <v>34</v>
      </c>
      <c r="B368" t="s">
        <v>15</v>
      </c>
      <c r="C368" t="s">
        <v>22</v>
      </c>
      <c r="D368">
        <v>25</v>
      </c>
      <c r="E368">
        <v>23214</v>
      </c>
      <c r="F368">
        <v>22871</v>
      </c>
      <c r="G368" t="s">
        <v>26</v>
      </c>
    </row>
    <row r="369" spans="1:7" x14ac:dyDescent="0.3">
      <c r="A369" t="s">
        <v>145</v>
      </c>
      <c r="B369" t="s">
        <v>33</v>
      </c>
      <c r="C369" t="s">
        <v>9</v>
      </c>
      <c r="D369">
        <v>11</v>
      </c>
      <c r="E369">
        <v>11706</v>
      </c>
      <c r="F369">
        <v>20280</v>
      </c>
      <c r="G369" t="s">
        <v>10</v>
      </c>
    </row>
    <row r="370" spans="1:7" x14ac:dyDescent="0.3">
      <c r="A370" t="s">
        <v>127</v>
      </c>
      <c r="B370" t="s">
        <v>50</v>
      </c>
      <c r="C370" t="s">
        <v>22</v>
      </c>
      <c r="D370">
        <v>5</v>
      </c>
      <c r="E370">
        <v>21841</v>
      </c>
      <c r="F370">
        <v>13788</v>
      </c>
      <c r="G370" t="s">
        <v>10</v>
      </c>
    </row>
    <row r="371" spans="1:7" x14ac:dyDescent="0.3">
      <c r="A371" t="s">
        <v>199</v>
      </c>
      <c r="B371" t="s">
        <v>29</v>
      </c>
      <c r="C371" t="s">
        <v>22</v>
      </c>
      <c r="D371">
        <v>5</v>
      </c>
      <c r="E371">
        <v>19203</v>
      </c>
      <c r="F371">
        <v>18038</v>
      </c>
      <c r="G371" t="s">
        <v>10</v>
      </c>
    </row>
    <row r="372" spans="1:7" x14ac:dyDescent="0.3">
      <c r="A372" t="s">
        <v>200</v>
      </c>
      <c r="B372" t="s">
        <v>27</v>
      </c>
      <c r="C372" t="s">
        <v>22</v>
      </c>
      <c r="D372">
        <v>16</v>
      </c>
      <c r="E372">
        <v>21830</v>
      </c>
      <c r="F372">
        <v>13420</v>
      </c>
      <c r="G372" t="s">
        <v>10</v>
      </c>
    </row>
    <row r="373" spans="1:7" x14ac:dyDescent="0.3">
      <c r="A373" t="s">
        <v>16</v>
      </c>
      <c r="B373" t="s">
        <v>25</v>
      </c>
      <c r="C373" t="s">
        <v>9</v>
      </c>
      <c r="D373">
        <v>18</v>
      </c>
      <c r="E373">
        <v>21913</v>
      </c>
      <c r="F373">
        <v>13173</v>
      </c>
      <c r="G373" t="s">
        <v>10</v>
      </c>
    </row>
    <row r="374" spans="1:7" x14ac:dyDescent="0.3">
      <c r="A374" t="s">
        <v>195</v>
      </c>
      <c r="B374" t="s">
        <v>120</v>
      </c>
      <c r="C374" t="s">
        <v>13</v>
      </c>
      <c r="D374">
        <v>7</v>
      </c>
      <c r="E374">
        <v>28733</v>
      </c>
      <c r="F374">
        <v>21179</v>
      </c>
      <c r="G374" t="s">
        <v>10</v>
      </c>
    </row>
    <row r="375" spans="1:7" x14ac:dyDescent="0.3">
      <c r="A375" t="s">
        <v>90</v>
      </c>
      <c r="B375" t="s">
        <v>27</v>
      </c>
      <c r="C375" t="s">
        <v>22</v>
      </c>
      <c r="D375">
        <v>23</v>
      </c>
      <c r="E375">
        <v>7179</v>
      </c>
      <c r="F375">
        <v>14679</v>
      </c>
      <c r="G375" t="s">
        <v>10</v>
      </c>
    </row>
    <row r="376" spans="1:7" x14ac:dyDescent="0.3">
      <c r="A376" t="s">
        <v>87</v>
      </c>
      <c r="B376" t="s">
        <v>12</v>
      </c>
      <c r="C376" t="s">
        <v>13</v>
      </c>
      <c r="D376">
        <v>8</v>
      </c>
      <c r="E376">
        <v>26194</v>
      </c>
      <c r="F376">
        <v>15181</v>
      </c>
      <c r="G376" t="s">
        <v>10</v>
      </c>
    </row>
    <row r="377" spans="1:7" x14ac:dyDescent="0.3">
      <c r="A377" t="s">
        <v>90</v>
      </c>
      <c r="B377" t="s">
        <v>92</v>
      </c>
      <c r="C377" t="s">
        <v>13</v>
      </c>
      <c r="D377">
        <v>25</v>
      </c>
      <c r="E377">
        <v>28259</v>
      </c>
      <c r="F377">
        <v>17793</v>
      </c>
      <c r="G377" t="s">
        <v>10</v>
      </c>
    </row>
    <row r="378" spans="1:7" x14ac:dyDescent="0.3">
      <c r="A378" t="s">
        <v>201</v>
      </c>
      <c r="B378" t="s">
        <v>19</v>
      </c>
      <c r="C378" t="s">
        <v>22</v>
      </c>
      <c r="D378">
        <v>12</v>
      </c>
      <c r="E378">
        <v>11856</v>
      </c>
      <c r="F378">
        <v>23088</v>
      </c>
      <c r="G378" t="s">
        <v>26</v>
      </c>
    </row>
    <row r="379" spans="1:7" x14ac:dyDescent="0.3">
      <c r="A379" t="s">
        <v>202</v>
      </c>
      <c r="B379" t="s">
        <v>46</v>
      </c>
      <c r="C379" t="s">
        <v>9</v>
      </c>
      <c r="D379">
        <v>14</v>
      </c>
      <c r="E379">
        <v>7355</v>
      </c>
      <c r="F379">
        <v>10579</v>
      </c>
      <c r="G379" t="s">
        <v>10</v>
      </c>
    </row>
    <row r="380" spans="1:7" x14ac:dyDescent="0.3">
      <c r="A380" t="s">
        <v>173</v>
      </c>
      <c r="B380" t="s">
        <v>52</v>
      </c>
      <c r="C380" t="s">
        <v>13</v>
      </c>
      <c r="D380">
        <v>14</v>
      </c>
      <c r="E380">
        <v>22330</v>
      </c>
      <c r="F380">
        <v>18332</v>
      </c>
      <c r="G380" t="s">
        <v>10</v>
      </c>
    </row>
    <row r="381" spans="1:7" x14ac:dyDescent="0.3">
      <c r="A381" t="s">
        <v>189</v>
      </c>
      <c r="B381" t="s">
        <v>79</v>
      </c>
      <c r="C381" t="s">
        <v>13</v>
      </c>
      <c r="D381">
        <v>25</v>
      </c>
      <c r="E381">
        <v>12944</v>
      </c>
      <c r="F381">
        <v>15268</v>
      </c>
      <c r="G381" t="s">
        <v>10</v>
      </c>
    </row>
    <row r="382" spans="1:7" x14ac:dyDescent="0.3">
      <c r="A382" t="s">
        <v>194</v>
      </c>
      <c r="B382" t="s">
        <v>73</v>
      </c>
      <c r="C382" t="s">
        <v>13</v>
      </c>
      <c r="D382">
        <v>5</v>
      </c>
      <c r="E382">
        <v>26606</v>
      </c>
      <c r="F382">
        <v>15687</v>
      </c>
      <c r="G382" t="s">
        <v>10</v>
      </c>
    </row>
    <row r="383" spans="1:7" x14ac:dyDescent="0.3">
      <c r="A383" t="s">
        <v>62</v>
      </c>
      <c r="B383" t="s">
        <v>67</v>
      </c>
      <c r="C383" t="s">
        <v>13</v>
      </c>
      <c r="D383">
        <v>7</v>
      </c>
      <c r="E383">
        <v>28116</v>
      </c>
      <c r="F383">
        <v>12810</v>
      </c>
      <c r="G383" t="s">
        <v>10</v>
      </c>
    </row>
    <row r="384" spans="1:7" x14ac:dyDescent="0.3">
      <c r="A384" t="s">
        <v>123</v>
      </c>
      <c r="B384" t="s">
        <v>69</v>
      </c>
      <c r="C384" t="s">
        <v>13</v>
      </c>
      <c r="D384">
        <v>8</v>
      </c>
      <c r="E384">
        <v>26877</v>
      </c>
      <c r="F384">
        <v>24955</v>
      </c>
      <c r="G384" t="s">
        <v>10</v>
      </c>
    </row>
    <row r="385" spans="1:7" x14ac:dyDescent="0.3">
      <c r="A385" t="s">
        <v>112</v>
      </c>
      <c r="B385" t="s">
        <v>27</v>
      </c>
      <c r="C385" t="s">
        <v>9</v>
      </c>
      <c r="D385">
        <v>8</v>
      </c>
      <c r="E385">
        <v>20182</v>
      </c>
      <c r="F385">
        <v>18780</v>
      </c>
      <c r="G385" t="s">
        <v>10</v>
      </c>
    </row>
    <row r="386" spans="1:7" x14ac:dyDescent="0.3">
      <c r="A386" t="s">
        <v>111</v>
      </c>
      <c r="B386" t="s">
        <v>25</v>
      </c>
      <c r="C386" t="s">
        <v>9</v>
      </c>
      <c r="D386">
        <v>9</v>
      </c>
      <c r="E386">
        <v>16856</v>
      </c>
      <c r="F386">
        <v>24012</v>
      </c>
      <c r="G386" t="s">
        <v>10</v>
      </c>
    </row>
    <row r="387" spans="1:7" x14ac:dyDescent="0.3">
      <c r="A387" t="s">
        <v>61</v>
      </c>
      <c r="B387" t="s">
        <v>29</v>
      </c>
      <c r="C387" t="s">
        <v>22</v>
      </c>
      <c r="D387">
        <v>13</v>
      </c>
      <c r="E387">
        <v>20446</v>
      </c>
      <c r="F387">
        <v>12558</v>
      </c>
      <c r="G387" t="s">
        <v>10</v>
      </c>
    </row>
    <row r="388" spans="1:7" x14ac:dyDescent="0.3">
      <c r="A388" t="s">
        <v>18</v>
      </c>
      <c r="B388" t="s">
        <v>52</v>
      </c>
      <c r="C388" t="s">
        <v>9</v>
      </c>
      <c r="D388">
        <v>14</v>
      </c>
      <c r="E388">
        <v>25685</v>
      </c>
      <c r="F388">
        <v>14701</v>
      </c>
      <c r="G388" t="s">
        <v>10</v>
      </c>
    </row>
    <row r="389" spans="1:7" x14ac:dyDescent="0.3">
      <c r="A389" t="s">
        <v>76</v>
      </c>
      <c r="B389" t="s">
        <v>12</v>
      </c>
      <c r="C389" t="s">
        <v>9</v>
      </c>
      <c r="D389">
        <v>24</v>
      </c>
      <c r="E389">
        <v>27556</v>
      </c>
      <c r="F389">
        <v>17876</v>
      </c>
      <c r="G389" t="s">
        <v>10</v>
      </c>
    </row>
    <row r="390" spans="1:7" x14ac:dyDescent="0.3">
      <c r="A390" t="s">
        <v>102</v>
      </c>
      <c r="B390" t="s">
        <v>46</v>
      </c>
      <c r="C390" t="s">
        <v>13</v>
      </c>
      <c r="D390">
        <v>10</v>
      </c>
      <c r="E390">
        <v>7161</v>
      </c>
      <c r="F390">
        <v>14941</v>
      </c>
      <c r="G390" t="s">
        <v>10</v>
      </c>
    </row>
    <row r="391" spans="1:7" x14ac:dyDescent="0.3">
      <c r="A391" t="s">
        <v>102</v>
      </c>
      <c r="B391" t="s">
        <v>37</v>
      </c>
      <c r="C391" t="s">
        <v>22</v>
      </c>
      <c r="D391">
        <v>23</v>
      </c>
      <c r="E391">
        <v>25878</v>
      </c>
      <c r="F391">
        <v>16964</v>
      </c>
      <c r="G391" t="s">
        <v>10</v>
      </c>
    </row>
    <row r="392" spans="1:7" x14ac:dyDescent="0.3">
      <c r="A392" t="s">
        <v>116</v>
      </c>
      <c r="B392" t="s">
        <v>27</v>
      </c>
      <c r="C392" t="s">
        <v>22</v>
      </c>
      <c r="D392">
        <v>12</v>
      </c>
      <c r="E392">
        <v>21314</v>
      </c>
      <c r="F392">
        <v>12295</v>
      </c>
      <c r="G392" t="s">
        <v>10</v>
      </c>
    </row>
    <row r="393" spans="1:7" x14ac:dyDescent="0.3">
      <c r="A393" t="s">
        <v>188</v>
      </c>
      <c r="B393" t="s">
        <v>12</v>
      </c>
      <c r="C393" t="s">
        <v>9</v>
      </c>
      <c r="D393">
        <v>22</v>
      </c>
      <c r="E393">
        <v>26027</v>
      </c>
      <c r="F393">
        <v>16785</v>
      </c>
      <c r="G393" t="s">
        <v>10</v>
      </c>
    </row>
    <row r="394" spans="1:7" x14ac:dyDescent="0.3">
      <c r="A394" t="s">
        <v>89</v>
      </c>
      <c r="B394" t="s">
        <v>27</v>
      </c>
      <c r="C394" t="s">
        <v>13</v>
      </c>
      <c r="D394">
        <v>5</v>
      </c>
      <c r="E394">
        <v>6021</v>
      </c>
      <c r="F394">
        <v>21486</v>
      </c>
      <c r="G394" t="s">
        <v>10</v>
      </c>
    </row>
    <row r="395" spans="1:7" x14ac:dyDescent="0.3">
      <c r="A395" t="s">
        <v>53</v>
      </c>
      <c r="B395" t="s">
        <v>25</v>
      </c>
      <c r="C395" t="s">
        <v>13</v>
      </c>
      <c r="D395">
        <v>20</v>
      </c>
      <c r="E395">
        <v>22114</v>
      </c>
      <c r="F395">
        <v>22848</v>
      </c>
      <c r="G395" t="s">
        <v>10</v>
      </c>
    </row>
    <row r="396" spans="1:7" x14ac:dyDescent="0.3">
      <c r="A396" t="s">
        <v>81</v>
      </c>
      <c r="B396" t="s">
        <v>29</v>
      </c>
      <c r="C396" t="s">
        <v>13</v>
      </c>
      <c r="D396">
        <v>17</v>
      </c>
      <c r="E396">
        <v>16861</v>
      </c>
      <c r="F396">
        <v>16042</v>
      </c>
      <c r="G396" t="s">
        <v>10</v>
      </c>
    </row>
    <row r="397" spans="1:7" x14ac:dyDescent="0.3">
      <c r="A397" t="s">
        <v>203</v>
      </c>
      <c r="B397" t="s">
        <v>42</v>
      </c>
      <c r="C397" t="s">
        <v>22</v>
      </c>
      <c r="D397">
        <v>11</v>
      </c>
      <c r="E397">
        <v>23357</v>
      </c>
      <c r="F397">
        <v>10623</v>
      </c>
      <c r="G397" t="s">
        <v>10</v>
      </c>
    </row>
    <row r="398" spans="1:7" x14ac:dyDescent="0.3">
      <c r="A398" t="s">
        <v>202</v>
      </c>
      <c r="B398" t="s">
        <v>40</v>
      </c>
      <c r="C398" t="s">
        <v>13</v>
      </c>
      <c r="D398">
        <v>22</v>
      </c>
      <c r="E398">
        <v>14331</v>
      </c>
      <c r="F398">
        <v>21543</v>
      </c>
      <c r="G398" t="s">
        <v>10</v>
      </c>
    </row>
    <row r="399" spans="1:7" x14ac:dyDescent="0.3">
      <c r="A399" t="s">
        <v>123</v>
      </c>
      <c r="B399" t="s">
        <v>64</v>
      </c>
      <c r="C399" t="s">
        <v>9</v>
      </c>
      <c r="D399">
        <v>5</v>
      </c>
      <c r="E399">
        <v>18246</v>
      </c>
      <c r="F399">
        <v>23862</v>
      </c>
      <c r="G399" t="s">
        <v>10</v>
      </c>
    </row>
    <row r="400" spans="1:7" x14ac:dyDescent="0.3">
      <c r="A400" t="s">
        <v>179</v>
      </c>
      <c r="B400" t="s">
        <v>54</v>
      </c>
      <c r="C400" t="s">
        <v>22</v>
      </c>
      <c r="D400">
        <v>6</v>
      </c>
      <c r="E400">
        <v>25894</v>
      </c>
      <c r="F400">
        <v>10109</v>
      </c>
      <c r="G400" t="s">
        <v>10</v>
      </c>
    </row>
    <row r="401" spans="1:7" x14ac:dyDescent="0.3">
      <c r="A401" t="s">
        <v>142</v>
      </c>
      <c r="B401" t="s">
        <v>40</v>
      </c>
      <c r="C401" t="s">
        <v>22</v>
      </c>
      <c r="D401">
        <v>7</v>
      </c>
      <c r="E401">
        <v>9814</v>
      </c>
      <c r="F401">
        <v>13383</v>
      </c>
      <c r="G401" t="s">
        <v>10</v>
      </c>
    </row>
    <row r="402" spans="1:7" x14ac:dyDescent="0.3">
      <c r="A402" t="s">
        <v>80</v>
      </c>
      <c r="B402" t="s">
        <v>42</v>
      </c>
      <c r="C402" t="s">
        <v>9</v>
      </c>
      <c r="D402">
        <v>7</v>
      </c>
      <c r="E402">
        <v>24558</v>
      </c>
      <c r="F402">
        <v>13615</v>
      </c>
      <c r="G402" t="s">
        <v>10</v>
      </c>
    </row>
    <row r="403" spans="1:7" x14ac:dyDescent="0.3">
      <c r="A403" t="s">
        <v>189</v>
      </c>
      <c r="B403" t="s">
        <v>15</v>
      </c>
      <c r="C403" t="s">
        <v>13</v>
      </c>
      <c r="D403">
        <v>10</v>
      </c>
      <c r="E403">
        <v>19691</v>
      </c>
      <c r="F403">
        <v>24561</v>
      </c>
      <c r="G403" t="s">
        <v>10</v>
      </c>
    </row>
    <row r="404" spans="1:7" x14ac:dyDescent="0.3">
      <c r="A404" t="s">
        <v>142</v>
      </c>
      <c r="B404" t="s">
        <v>73</v>
      </c>
      <c r="C404" t="s">
        <v>22</v>
      </c>
      <c r="D404">
        <v>25</v>
      </c>
      <c r="E404">
        <v>13029</v>
      </c>
      <c r="F404">
        <v>14504</v>
      </c>
      <c r="G404" t="s">
        <v>10</v>
      </c>
    </row>
    <row r="405" spans="1:7" x14ac:dyDescent="0.3">
      <c r="A405" t="s">
        <v>204</v>
      </c>
      <c r="B405" t="s">
        <v>120</v>
      </c>
      <c r="C405" t="s">
        <v>22</v>
      </c>
      <c r="D405">
        <v>18</v>
      </c>
      <c r="E405">
        <v>13430</v>
      </c>
      <c r="F405">
        <v>12326</v>
      </c>
      <c r="G405" t="s">
        <v>10</v>
      </c>
    </row>
    <row r="406" spans="1:7" x14ac:dyDescent="0.3">
      <c r="A406" t="s">
        <v>34</v>
      </c>
      <c r="B406" t="s">
        <v>101</v>
      </c>
      <c r="C406" t="s">
        <v>22</v>
      </c>
      <c r="D406">
        <v>19</v>
      </c>
      <c r="E406">
        <v>6595</v>
      </c>
      <c r="F406">
        <v>16525</v>
      </c>
      <c r="G406" t="s">
        <v>10</v>
      </c>
    </row>
    <row r="407" spans="1:7" x14ac:dyDescent="0.3">
      <c r="A407" t="s">
        <v>118</v>
      </c>
      <c r="B407" t="s">
        <v>8</v>
      </c>
      <c r="C407" t="s">
        <v>9</v>
      </c>
      <c r="D407">
        <v>15</v>
      </c>
      <c r="E407">
        <v>21067</v>
      </c>
      <c r="F407">
        <v>24074</v>
      </c>
      <c r="G407" t="s">
        <v>10</v>
      </c>
    </row>
    <row r="408" spans="1:7" x14ac:dyDescent="0.3">
      <c r="A408" t="s">
        <v>94</v>
      </c>
      <c r="B408" t="s">
        <v>73</v>
      </c>
      <c r="C408" t="s">
        <v>22</v>
      </c>
      <c r="D408">
        <v>11</v>
      </c>
      <c r="E408">
        <v>27384</v>
      </c>
      <c r="F408">
        <v>21424</v>
      </c>
      <c r="G408" t="s">
        <v>10</v>
      </c>
    </row>
    <row r="409" spans="1:7" x14ac:dyDescent="0.3">
      <c r="A409" t="s">
        <v>58</v>
      </c>
      <c r="B409" t="s">
        <v>17</v>
      </c>
      <c r="C409" t="s">
        <v>9</v>
      </c>
      <c r="D409">
        <v>9</v>
      </c>
      <c r="E409">
        <v>18631</v>
      </c>
      <c r="F409">
        <v>15537</v>
      </c>
      <c r="G409" t="s">
        <v>26</v>
      </c>
    </row>
    <row r="410" spans="1:7" x14ac:dyDescent="0.3">
      <c r="A410" t="s">
        <v>132</v>
      </c>
      <c r="B410" t="s">
        <v>79</v>
      </c>
      <c r="C410" t="s">
        <v>13</v>
      </c>
      <c r="D410">
        <v>7</v>
      </c>
      <c r="E410">
        <v>19458</v>
      </c>
      <c r="F410">
        <v>17312</v>
      </c>
      <c r="G410" t="s">
        <v>10</v>
      </c>
    </row>
    <row r="411" spans="1:7" x14ac:dyDescent="0.3">
      <c r="A411" t="s">
        <v>41</v>
      </c>
      <c r="B411" t="s">
        <v>19</v>
      </c>
      <c r="C411" t="s">
        <v>22</v>
      </c>
      <c r="D411">
        <v>18</v>
      </c>
      <c r="E411">
        <v>21475</v>
      </c>
      <c r="F411">
        <v>15731</v>
      </c>
      <c r="G411" t="s">
        <v>10</v>
      </c>
    </row>
    <row r="412" spans="1:7" x14ac:dyDescent="0.3">
      <c r="A412" t="s">
        <v>189</v>
      </c>
      <c r="B412" t="s">
        <v>73</v>
      </c>
      <c r="C412" t="s">
        <v>13</v>
      </c>
      <c r="D412">
        <v>15</v>
      </c>
      <c r="E412">
        <v>23872</v>
      </c>
      <c r="F412">
        <v>15959</v>
      </c>
      <c r="G412" t="s">
        <v>10</v>
      </c>
    </row>
    <row r="413" spans="1:7" x14ac:dyDescent="0.3">
      <c r="A413" t="s">
        <v>158</v>
      </c>
      <c r="B413" t="s">
        <v>75</v>
      </c>
      <c r="C413" t="s">
        <v>9</v>
      </c>
      <c r="D413">
        <v>14</v>
      </c>
      <c r="E413">
        <v>23251</v>
      </c>
      <c r="F413">
        <v>21254</v>
      </c>
      <c r="G413" t="s">
        <v>10</v>
      </c>
    </row>
    <row r="414" spans="1:7" x14ac:dyDescent="0.3">
      <c r="A414" t="s">
        <v>97</v>
      </c>
      <c r="B414" t="s">
        <v>120</v>
      </c>
      <c r="C414" t="s">
        <v>9</v>
      </c>
      <c r="D414">
        <v>11</v>
      </c>
      <c r="E414">
        <v>7595</v>
      </c>
      <c r="F414">
        <v>16606</v>
      </c>
      <c r="G414" t="s">
        <v>10</v>
      </c>
    </row>
    <row r="415" spans="1:7" x14ac:dyDescent="0.3">
      <c r="A415" t="s">
        <v>39</v>
      </c>
      <c r="B415" t="s">
        <v>50</v>
      </c>
      <c r="C415" t="s">
        <v>9</v>
      </c>
      <c r="D415">
        <v>25</v>
      </c>
      <c r="E415">
        <v>11743</v>
      </c>
      <c r="F415">
        <v>19031</v>
      </c>
      <c r="G415" t="s">
        <v>10</v>
      </c>
    </row>
    <row r="416" spans="1:7" x14ac:dyDescent="0.3">
      <c r="A416" t="s">
        <v>205</v>
      </c>
      <c r="B416" t="s">
        <v>50</v>
      </c>
      <c r="C416" t="s">
        <v>22</v>
      </c>
      <c r="D416">
        <v>25</v>
      </c>
      <c r="E416">
        <v>5014</v>
      </c>
      <c r="F416">
        <v>18771</v>
      </c>
      <c r="G416" t="s">
        <v>10</v>
      </c>
    </row>
    <row r="417" spans="1:7" x14ac:dyDescent="0.3">
      <c r="A417" t="s">
        <v>86</v>
      </c>
      <c r="B417" t="s">
        <v>12</v>
      </c>
      <c r="C417" t="s">
        <v>22</v>
      </c>
      <c r="D417">
        <v>6</v>
      </c>
      <c r="E417">
        <v>21358</v>
      </c>
      <c r="F417">
        <v>12014</v>
      </c>
      <c r="G417" t="s">
        <v>10</v>
      </c>
    </row>
    <row r="418" spans="1:7" x14ac:dyDescent="0.3">
      <c r="A418" t="s">
        <v>181</v>
      </c>
      <c r="B418" t="s">
        <v>33</v>
      </c>
      <c r="C418" t="s">
        <v>22</v>
      </c>
      <c r="D418">
        <v>10</v>
      </c>
      <c r="E418">
        <v>14107</v>
      </c>
      <c r="F418">
        <v>14367</v>
      </c>
      <c r="G418" t="s">
        <v>10</v>
      </c>
    </row>
    <row r="419" spans="1:7" x14ac:dyDescent="0.3">
      <c r="A419" t="s">
        <v>198</v>
      </c>
      <c r="B419" t="s">
        <v>37</v>
      </c>
      <c r="C419" t="s">
        <v>22</v>
      </c>
      <c r="D419">
        <v>9</v>
      </c>
      <c r="E419">
        <v>28938</v>
      </c>
      <c r="F419">
        <v>22501</v>
      </c>
      <c r="G419" t="s">
        <v>26</v>
      </c>
    </row>
    <row r="420" spans="1:7" x14ac:dyDescent="0.3">
      <c r="A420" t="s">
        <v>45</v>
      </c>
      <c r="B420" t="s">
        <v>8</v>
      </c>
      <c r="C420" t="s">
        <v>22</v>
      </c>
      <c r="D420">
        <v>21</v>
      </c>
      <c r="E420">
        <v>16137</v>
      </c>
      <c r="F420">
        <v>24543</v>
      </c>
      <c r="G420" t="s">
        <v>10</v>
      </c>
    </row>
    <row r="421" spans="1:7" x14ac:dyDescent="0.3">
      <c r="A421" t="s">
        <v>68</v>
      </c>
      <c r="B421" t="s">
        <v>27</v>
      </c>
      <c r="C421" t="s">
        <v>22</v>
      </c>
      <c r="D421">
        <v>9</v>
      </c>
      <c r="E421">
        <v>26996</v>
      </c>
      <c r="F421">
        <v>14471</v>
      </c>
      <c r="G421" t="s">
        <v>10</v>
      </c>
    </row>
    <row r="422" spans="1:7" x14ac:dyDescent="0.3">
      <c r="A422" t="s">
        <v>191</v>
      </c>
      <c r="B422" t="s">
        <v>79</v>
      </c>
      <c r="C422" t="s">
        <v>9</v>
      </c>
      <c r="D422">
        <v>5</v>
      </c>
      <c r="E422">
        <v>16812</v>
      </c>
      <c r="F422">
        <v>11550</v>
      </c>
      <c r="G422" t="s">
        <v>10</v>
      </c>
    </row>
    <row r="423" spans="1:7" x14ac:dyDescent="0.3">
      <c r="A423" t="s">
        <v>204</v>
      </c>
      <c r="B423" t="s">
        <v>40</v>
      </c>
      <c r="C423" t="s">
        <v>9</v>
      </c>
      <c r="D423">
        <v>6</v>
      </c>
      <c r="E423">
        <v>10176</v>
      </c>
      <c r="F423">
        <v>14178</v>
      </c>
      <c r="G423" t="s">
        <v>10</v>
      </c>
    </row>
    <row r="424" spans="1:7" x14ac:dyDescent="0.3">
      <c r="A424" t="s">
        <v>167</v>
      </c>
      <c r="B424" t="s">
        <v>42</v>
      </c>
      <c r="C424" t="s">
        <v>9</v>
      </c>
      <c r="D424">
        <v>24</v>
      </c>
      <c r="E424">
        <v>16472</v>
      </c>
      <c r="F424">
        <v>19558</v>
      </c>
      <c r="G424" t="s">
        <v>10</v>
      </c>
    </row>
    <row r="425" spans="1:7" x14ac:dyDescent="0.3">
      <c r="A425" t="s">
        <v>206</v>
      </c>
      <c r="B425" t="s">
        <v>19</v>
      </c>
      <c r="C425" t="s">
        <v>13</v>
      </c>
      <c r="D425">
        <v>11</v>
      </c>
      <c r="E425">
        <v>8166</v>
      </c>
      <c r="F425">
        <v>23087</v>
      </c>
      <c r="G425" t="s">
        <v>10</v>
      </c>
    </row>
    <row r="426" spans="1:7" x14ac:dyDescent="0.3">
      <c r="A426" t="s">
        <v>78</v>
      </c>
      <c r="B426" t="s">
        <v>101</v>
      </c>
      <c r="C426" t="s">
        <v>22</v>
      </c>
      <c r="D426">
        <v>10</v>
      </c>
      <c r="E426">
        <v>27019</v>
      </c>
      <c r="F426">
        <v>18536</v>
      </c>
      <c r="G426" t="s">
        <v>10</v>
      </c>
    </row>
    <row r="427" spans="1:7" x14ac:dyDescent="0.3">
      <c r="A427" t="s">
        <v>66</v>
      </c>
      <c r="B427" t="s">
        <v>35</v>
      </c>
      <c r="C427" t="s">
        <v>22</v>
      </c>
      <c r="D427">
        <v>17</v>
      </c>
      <c r="E427">
        <v>20743</v>
      </c>
      <c r="F427">
        <v>14626</v>
      </c>
      <c r="G427" t="s">
        <v>10</v>
      </c>
    </row>
    <row r="428" spans="1:7" x14ac:dyDescent="0.3">
      <c r="A428" t="s">
        <v>207</v>
      </c>
      <c r="B428" t="s">
        <v>25</v>
      </c>
      <c r="C428" t="s">
        <v>9</v>
      </c>
      <c r="D428">
        <v>22</v>
      </c>
      <c r="E428">
        <v>11412</v>
      </c>
      <c r="F428">
        <v>17792</v>
      </c>
      <c r="G428" t="s">
        <v>10</v>
      </c>
    </row>
    <row r="429" spans="1:7" x14ac:dyDescent="0.3">
      <c r="A429" t="s">
        <v>183</v>
      </c>
      <c r="B429" t="s">
        <v>50</v>
      </c>
      <c r="C429" t="s">
        <v>13</v>
      </c>
      <c r="D429">
        <v>22</v>
      </c>
      <c r="E429">
        <v>28515</v>
      </c>
      <c r="F429">
        <v>16275</v>
      </c>
      <c r="G429" t="s">
        <v>10</v>
      </c>
    </row>
    <row r="430" spans="1:7" x14ac:dyDescent="0.3">
      <c r="A430" t="s">
        <v>98</v>
      </c>
      <c r="B430" t="s">
        <v>40</v>
      </c>
      <c r="C430" t="s">
        <v>13</v>
      </c>
      <c r="D430">
        <v>22</v>
      </c>
      <c r="E430">
        <v>19891</v>
      </c>
      <c r="F430">
        <v>17828</v>
      </c>
      <c r="G430" t="s">
        <v>10</v>
      </c>
    </row>
    <row r="431" spans="1:7" x14ac:dyDescent="0.3">
      <c r="A431" t="s">
        <v>34</v>
      </c>
      <c r="B431" t="s">
        <v>21</v>
      </c>
      <c r="C431" t="s">
        <v>13</v>
      </c>
      <c r="D431">
        <v>5</v>
      </c>
      <c r="E431">
        <v>24489</v>
      </c>
      <c r="F431">
        <v>17518</v>
      </c>
      <c r="G431" t="s">
        <v>10</v>
      </c>
    </row>
    <row r="432" spans="1:7" x14ac:dyDescent="0.3">
      <c r="A432" t="s">
        <v>176</v>
      </c>
      <c r="B432" t="s">
        <v>48</v>
      </c>
      <c r="C432" t="s">
        <v>9</v>
      </c>
      <c r="D432">
        <v>8</v>
      </c>
      <c r="E432">
        <v>13104</v>
      </c>
      <c r="F432">
        <v>11888</v>
      </c>
      <c r="G432" t="s">
        <v>10</v>
      </c>
    </row>
    <row r="433" spans="1:7" x14ac:dyDescent="0.3">
      <c r="A433" t="s">
        <v>208</v>
      </c>
      <c r="B433" t="s">
        <v>56</v>
      </c>
      <c r="C433" t="s">
        <v>13</v>
      </c>
      <c r="D433">
        <v>10</v>
      </c>
      <c r="E433">
        <v>8194</v>
      </c>
      <c r="F433">
        <v>19753</v>
      </c>
      <c r="G433" t="s">
        <v>10</v>
      </c>
    </row>
    <row r="434" spans="1:7" x14ac:dyDescent="0.3">
      <c r="A434" t="s">
        <v>44</v>
      </c>
      <c r="B434" t="s">
        <v>73</v>
      </c>
      <c r="C434" t="s">
        <v>9</v>
      </c>
      <c r="D434">
        <v>18</v>
      </c>
      <c r="E434">
        <v>9273</v>
      </c>
      <c r="F434">
        <v>16765</v>
      </c>
      <c r="G434" t="s">
        <v>26</v>
      </c>
    </row>
    <row r="435" spans="1:7" x14ac:dyDescent="0.3">
      <c r="A435" t="s">
        <v>71</v>
      </c>
      <c r="B435" t="s">
        <v>50</v>
      </c>
      <c r="C435" t="s">
        <v>13</v>
      </c>
      <c r="D435">
        <v>16</v>
      </c>
      <c r="E435">
        <v>22405</v>
      </c>
      <c r="F435">
        <v>14279</v>
      </c>
      <c r="G435" t="s">
        <v>10</v>
      </c>
    </row>
    <row r="436" spans="1:7" x14ac:dyDescent="0.3">
      <c r="A436" t="s">
        <v>163</v>
      </c>
      <c r="B436" t="s">
        <v>120</v>
      </c>
      <c r="C436" t="s">
        <v>13</v>
      </c>
      <c r="D436">
        <v>15</v>
      </c>
      <c r="E436">
        <v>24304</v>
      </c>
      <c r="F436">
        <v>11878</v>
      </c>
      <c r="G436" t="s">
        <v>10</v>
      </c>
    </row>
    <row r="437" spans="1:7" x14ac:dyDescent="0.3">
      <c r="A437" t="s">
        <v>57</v>
      </c>
      <c r="B437" t="s">
        <v>56</v>
      </c>
      <c r="C437" t="s">
        <v>22</v>
      </c>
      <c r="D437">
        <v>14</v>
      </c>
      <c r="E437">
        <v>16776</v>
      </c>
      <c r="F437">
        <v>12046</v>
      </c>
      <c r="G437" t="s">
        <v>10</v>
      </c>
    </row>
    <row r="438" spans="1:7" x14ac:dyDescent="0.3">
      <c r="A438" t="s">
        <v>128</v>
      </c>
      <c r="B438" t="s">
        <v>56</v>
      </c>
      <c r="C438" t="s">
        <v>9</v>
      </c>
      <c r="D438">
        <v>6</v>
      </c>
      <c r="E438">
        <v>8761</v>
      </c>
      <c r="F438">
        <v>13030</v>
      </c>
      <c r="G438" t="s">
        <v>10</v>
      </c>
    </row>
    <row r="439" spans="1:7" x14ac:dyDescent="0.3">
      <c r="A439" t="s">
        <v>59</v>
      </c>
      <c r="B439" t="s">
        <v>12</v>
      </c>
      <c r="C439" t="s">
        <v>13</v>
      </c>
      <c r="D439">
        <v>21</v>
      </c>
      <c r="E439">
        <v>12851</v>
      </c>
      <c r="F439">
        <v>18097</v>
      </c>
      <c r="G439" t="s">
        <v>10</v>
      </c>
    </row>
    <row r="440" spans="1:7" x14ac:dyDescent="0.3">
      <c r="A440" t="s">
        <v>177</v>
      </c>
      <c r="B440" t="s">
        <v>8</v>
      </c>
      <c r="C440" t="s">
        <v>22</v>
      </c>
      <c r="D440">
        <v>8</v>
      </c>
      <c r="E440">
        <v>19229</v>
      </c>
      <c r="F440">
        <v>20192</v>
      </c>
      <c r="G440" t="s">
        <v>26</v>
      </c>
    </row>
    <row r="441" spans="1:7" x14ac:dyDescent="0.3">
      <c r="A441" t="s">
        <v>208</v>
      </c>
      <c r="B441" t="s">
        <v>69</v>
      </c>
      <c r="C441" t="s">
        <v>22</v>
      </c>
      <c r="D441">
        <v>14</v>
      </c>
      <c r="E441">
        <v>11568</v>
      </c>
      <c r="F441">
        <v>10977</v>
      </c>
      <c r="G441" t="s">
        <v>10</v>
      </c>
    </row>
    <row r="442" spans="1:7" x14ac:dyDescent="0.3">
      <c r="A442" t="s">
        <v>39</v>
      </c>
      <c r="B442" t="s">
        <v>54</v>
      </c>
      <c r="C442" t="s">
        <v>13</v>
      </c>
      <c r="D442">
        <v>17</v>
      </c>
      <c r="E442">
        <v>21277</v>
      </c>
      <c r="F442">
        <v>18942</v>
      </c>
      <c r="G442" t="s">
        <v>10</v>
      </c>
    </row>
    <row r="443" spans="1:7" x14ac:dyDescent="0.3">
      <c r="A443" t="s">
        <v>204</v>
      </c>
      <c r="B443" t="s">
        <v>42</v>
      </c>
      <c r="C443" t="s">
        <v>9</v>
      </c>
      <c r="D443">
        <v>12</v>
      </c>
      <c r="E443">
        <v>11025</v>
      </c>
      <c r="F443">
        <v>13486</v>
      </c>
      <c r="G443" t="s">
        <v>26</v>
      </c>
    </row>
    <row r="444" spans="1:7" x14ac:dyDescent="0.3">
      <c r="A444" t="s">
        <v>114</v>
      </c>
      <c r="B444" t="s">
        <v>79</v>
      </c>
      <c r="C444" t="s">
        <v>13</v>
      </c>
      <c r="D444">
        <v>9</v>
      </c>
      <c r="E444">
        <v>19519</v>
      </c>
      <c r="F444">
        <v>17600</v>
      </c>
      <c r="G444" t="s">
        <v>10</v>
      </c>
    </row>
    <row r="445" spans="1:7" x14ac:dyDescent="0.3">
      <c r="A445" t="s">
        <v>209</v>
      </c>
      <c r="B445" t="s">
        <v>25</v>
      </c>
      <c r="C445" t="s">
        <v>22</v>
      </c>
      <c r="D445">
        <v>8</v>
      </c>
      <c r="E445">
        <v>28540</v>
      </c>
      <c r="F445">
        <v>11605</v>
      </c>
      <c r="G445" t="s">
        <v>10</v>
      </c>
    </row>
    <row r="446" spans="1:7" x14ac:dyDescent="0.3">
      <c r="A446" t="s">
        <v>200</v>
      </c>
      <c r="B446" t="s">
        <v>69</v>
      </c>
      <c r="C446" t="s">
        <v>22</v>
      </c>
      <c r="D446">
        <v>15</v>
      </c>
      <c r="E446">
        <v>26196</v>
      </c>
      <c r="F446">
        <v>12944</v>
      </c>
      <c r="G446" t="s">
        <v>10</v>
      </c>
    </row>
    <row r="447" spans="1:7" x14ac:dyDescent="0.3">
      <c r="A447" t="s">
        <v>208</v>
      </c>
      <c r="B447" t="s">
        <v>19</v>
      </c>
      <c r="C447" t="s">
        <v>13</v>
      </c>
      <c r="D447">
        <v>7</v>
      </c>
      <c r="E447">
        <v>22329</v>
      </c>
      <c r="F447">
        <v>18560</v>
      </c>
      <c r="G447" t="s">
        <v>10</v>
      </c>
    </row>
    <row r="448" spans="1:7" x14ac:dyDescent="0.3">
      <c r="A448" t="s">
        <v>20</v>
      </c>
      <c r="B448" t="s">
        <v>29</v>
      </c>
      <c r="C448" t="s">
        <v>13</v>
      </c>
      <c r="D448">
        <v>16</v>
      </c>
      <c r="E448">
        <v>9954</v>
      </c>
      <c r="F448">
        <v>24343</v>
      </c>
      <c r="G448" t="s">
        <v>10</v>
      </c>
    </row>
    <row r="449" spans="1:7" x14ac:dyDescent="0.3">
      <c r="A449" t="s">
        <v>190</v>
      </c>
      <c r="B449" t="s">
        <v>64</v>
      </c>
      <c r="C449" t="s">
        <v>13</v>
      </c>
      <c r="D449">
        <v>23</v>
      </c>
      <c r="E449">
        <v>16250</v>
      </c>
      <c r="F449">
        <v>19965</v>
      </c>
      <c r="G449" t="s">
        <v>26</v>
      </c>
    </row>
    <row r="450" spans="1:7" x14ac:dyDescent="0.3">
      <c r="A450" t="s">
        <v>168</v>
      </c>
      <c r="B450" t="s">
        <v>73</v>
      </c>
      <c r="C450" t="s">
        <v>13</v>
      </c>
      <c r="D450">
        <v>17</v>
      </c>
      <c r="E450">
        <v>20985</v>
      </c>
      <c r="F450">
        <v>11118</v>
      </c>
      <c r="G450" t="s">
        <v>10</v>
      </c>
    </row>
    <row r="451" spans="1:7" x14ac:dyDescent="0.3">
      <c r="A451" t="s">
        <v>87</v>
      </c>
      <c r="B451" t="s">
        <v>17</v>
      </c>
      <c r="C451" t="s">
        <v>22</v>
      </c>
      <c r="D451">
        <v>8</v>
      </c>
      <c r="E451">
        <v>12751</v>
      </c>
      <c r="F451">
        <v>11292</v>
      </c>
      <c r="G451" t="s">
        <v>10</v>
      </c>
    </row>
    <row r="452" spans="1:7" x14ac:dyDescent="0.3">
      <c r="A452" t="s">
        <v>51</v>
      </c>
      <c r="B452" t="s">
        <v>54</v>
      </c>
      <c r="C452" t="s">
        <v>9</v>
      </c>
      <c r="D452">
        <v>13</v>
      </c>
      <c r="E452">
        <v>26277</v>
      </c>
      <c r="F452">
        <v>21298</v>
      </c>
      <c r="G452" t="s">
        <v>10</v>
      </c>
    </row>
    <row r="453" spans="1:7" x14ac:dyDescent="0.3">
      <c r="A453" t="s">
        <v>206</v>
      </c>
      <c r="B453" t="s">
        <v>64</v>
      </c>
      <c r="C453" t="s">
        <v>9</v>
      </c>
      <c r="D453">
        <v>20</v>
      </c>
      <c r="E453">
        <v>6052</v>
      </c>
      <c r="F453">
        <v>12834</v>
      </c>
      <c r="G453" t="s">
        <v>10</v>
      </c>
    </row>
    <row r="454" spans="1:7" x14ac:dyDescent="0.3">
      <c r="A454" t="s">
        <v>183</v>
      </c>
      <c r="B454" t="s">
        <v>75</v>
      </c>
      <c r="C454" t="s">
        <v>9</v>
      </c>
      <c r="D454">
        <v>18</v>
      </c>
      <c r="E454">
        <v>13953</v>
      </c>
      <c r="F454">
        <v>16179</v>
      </c>
      <c r="G454" t="s">
        <v>10</v>
      </c>
    </row>
    <row r="455" spans="1:7" x14ac:dyDescent="0.3">
      <c r="A455" t="s">
        <v>207</v>
      </c>
      <c r="B455" t="s">
        <v>17</v>
      </c>
      <c r="C455" t="s">
        <v>22</v>
      </c>
      <c r="D455">
        <v>10</v>
      </c>
      <c r="E455">
        <v>16849</v>
      </c>
      <c r="F455">
        <v>13125</v>
      </c>
      <c r="G455" t="s">
        <v>10</v>
      </c>
    </row>
    <row r="456" spans="1:7" x14ac:dyDescent="0.3">
      <c r="A456" t="s">
        <v>174</v>
      </c>
      <c r="B456" t="s">
        <v>52</v>
      </c>
      <c r="C456" t="s">
        <v>13</v>
      </c>
      <c r="D456">
        <v>12</v>
      </c>
      <c r="E456">
        <v>29395</v>
      </c>
      <c r="F456">
        <v>10911</v>
      </c>
      <c r="G456" t="s">
        <v>10</v>
      </c>
    </row>
    <row r="457" spans="1:7" x14ac:dyDescent="0.3">
      <c r="A457" t="s">
        <v>165</v>
      </c>
      <c r="B457" t="s">
        <v>92</v>
      </c>
      <c r="C457" t="s">
        <v>22</v>
      </c>
      <c r="D457">
        <v>8</v>
      </c>
      <c r="E457">
        <v>11743</v>
      </c>
      <c r="F457">
        <v>15047</v>
      </c>
      <c r="G457" t="s">
        <v>10</v>
      </c>
    </row>
    <row r="458" spans="1:7" x14ac:dyDescent="0.3">
      <c r="A458" t="s">
        <v>18</v>
      </c>
      <c r="B458" t="s">
        <v>73</v>
      </c>
      <c r="C458" t="s">
        <v>22</v>
      </c>
      <c r="D458">
        <v>8</v>
      </c>
      <c r="E458">
        <v>29075</v>
      </c>
      <c r="F458">
        <v>11721</v>
      </c>
      <c r="G458" t="s">
        <v>10</v>
      </c>
    </row>
    <row r="459" spans="1:7" x14ac:dyDescent="0.3">
      <c r="A459" t="s">
        <v>122</v>
      </c>
      <c r="B459" t="s">
        <v>27</v>
      </c>
      <c r="C459" t="s">
        <v>22</v>
      </c>
      <c r="D459">
        <v>7</v>
      </c>
      <c r="E459">
        <v>16180</v>
      </c>
      <c r="F459">
        <v>23294</v>
      </c>
      <c r="G459" t="s">
        <v>10</v>
      </c>
    </row>
    <row r="460" spans="1:7" x14ac:dyDescent="0.3">
      <c r="A460" t="s">
        <v>163</v>
      </c>
      <c r="B460" t="s">
        <v>54</v>
      </c>
      <c r="C460" t="s">
        <v>22</v>
      </c>
      <c r="D460">
        <v>5</v>
      </c>
      <c r="E460">
        <v>10681</v>
      </c>
      <c r="F460">
        <v>19556</v>
      </c>
      <c r="G460" t="s">
        <v>26</v>
      </c>
    </row>
    <row r="461" spans="1:7" x14ac:dyDescent="0.3">
      <c r="A461" t="s">
        <v>159</v>
      </c>
      <c r="B461" t="s">
        <v>29</v>
      </c>
      <c r="C461" t="s">
        <v>13</v>
      </c>
      <c r="D461">
        <v>8</v>
      </c>
      <c r="E461">
        <v>21024</v>
      </c>
      <c r="F461">
        <v>15087</v>
      </c>
      <c r="G461" t="s">
        <v>10</v>
      </c>
    </row>
    <row r="462" spans="1:7" x14ac:dyDescent="0.3">
      <c r="A462" t="s">
        <v>165</v>
      </c>
      <c r="B462" t="s">
        <v>37</v>
      </c>
      <c r="C462" t="s">
        <v>22</v>
      </c>
      <c r="D462">
        <v>16</v>
      </c>
      <c r="E462">
        <v>10848</v>
      </c>
      <c r="F462">
        <v>11256</v>
      </c>
      <c r="G462" t="s">
        <v>10</v>
      </c>
    </row>
    <row r="463" spans="1:7" x14ac:dyDescent="0.3">
      <c r="A463" t="s">
        <v>192</v>
      </c>
      <c r="B463" t="s">
        <v>25</v>
      </c>
      <c r="C463" t="s">
        <v>13</v>
      </c>
      <c r="D463">
        <v>7</v>
      </c>
      <c r="E463">
        <v>9260</v>
      </c>
      <c r="F463">
        <v>24077</v>
      </c>
      <c r="G463" t="s">
        <v>10</v>
      </c>
    </row>
    <row r="464" spans="1:7" x14ac:dyDescent="0.3">
      <c r="A464" t="s">
        <v>153</v>
      </c>
      <c r="B464" t="s">
        <v>54</v>
      </c>
      <c r="C464" t="s">
        <v>22</v>
      </c>
      <c r="D464">
        <v>5</v>
      </c>
      <c r="E464">
        <v>13914</v>
      </c>
      <c r="F464">
        <v>18784</v>
      </c>
      <c r="G464" t="s">
        <v>10</v>
      </c>
    </row>
    <row r="465" spans="1:7" x14ac:dyDescent="0.3">
      <c r="A465" t="s">
        <v>196</v>
      </c>
      <c r="B465" t="s">
        <v>8</v>
      </c>
      <c r="C465" t="s">
        <v>9</v>
      </c>
      <c r="D465">
        <v>18</v>
      </c>
      <c r="E465">
        <v>12790</v>
      </c>
      <c r="F465">
        <v>21020</v>
      </c>
      <c r="G465" t="s">
        <v>10</v>
      </c>
    </row>
    <row r="466" spans="1:7" x14ac:dyDescent="0.3">
      <c r="A466" t="s">
        <v>143</v>
      </c>
      <c r="B466" t="s">
        <v>54</v>
      </c>
      <c r="C466" t="s">
        <v>22</v>
      </c>
      <c r="D466">
        <v>5</v>
      </c>
      <c r="E466">
        <v>29967</v>
      </c>
      <c r="F466">
        <v>16581</v>
      </c>
      <c r="G466" t="s">
        <v>10</v>
      </c>
    </row>
    <row r="467" spans="1:7" x14ac:dyDescent="0.3">
      <c r="A467" t="s">
        <v>173</v>
      </c>
      <c r="B467" t="s">
        <v>46</v>
      </c>
      <c r="C467" t="s">
        <v>13</v>
      </c>
      <c r="D467">
        <v>16</v>
      </c>
      <c r="E467">
        <v>21016</v>
      </c>
      <c r="F467">
        <v>19544</v>
      </c>
      <c r="G467" t="s">
        <v>26</v>
      </c>
    </row>
    <row r="468" spans="1:7" x14ac:dyDescent="0.3">
      <c r="A468" t="s">
        <v>82</v>
      </c>
      <c r="B468" t="s">
        <v>31</v>
      </c>
      <c r="C468" t="s">
        <v>22</v>
      </c>
      <c r="D468">
        <v>24</v>
      </c>
      <c r="E468">
        <v>21160</v>
      </c>
      <c r="F468">
        <v>22009</v>
      </c>
      <c r="G468" t="s">
        <v>10</v>
      </c>
    </row>
    <row r="469" spans="1:7" x14ac:dyDescent="0.3">
      <c r="A469" t="s">
        <v>99</v>
      </c>
      <c r="B469" t="s">
        <v>42</v>
      </c>
      <c r="C469" t="s">
        <v>9</v>
      </c>
      <c r="D469">
        <v>5</v>
      </c>
      <c r="E469">
        <v>16803</v>
      </c>
      <c r="F469">
        <v>11570</v>
      </c>
      <c r="G469" t="s">
        <v>10</v>
      </c>
    </row>
    <row r="470" spans="1:7" x14ac:dyDescent="0.3">
      <c r="A470" t="s">
        <v>145</v>
      </c>
      <c r="B470" t="s">
        <v>69</v>
      </c>
      <c r="C470" t="s">
        <v>9</v>
      </c>
      <c r="D470">
        <v>5</v>
      </c>
      <c r="E470">
        <v>12197</v>
      </c>
      <c r="F470">
        <v>16427</v>
      </c>
      <c r="G470" t="s">
        <v>10</v>
      </c>
    </row>
    <row r="471" spans="1:7" x14ac:dyDescent="0.3">
      <c r="A471" t="s">
        <v>105</v>
      </c>
      <c r="B471" t="s">
        <v>35</v>
      </c>
      <c r="C471" t="s">
        <v>22</v>
      </c>
      <c r="D471">
        <v>13</v>
      </c>
      <c r="E471">
        <v>29494</v>
      </c>
      <c r="F471">
        <v>22682</v>
      </c>
      <c r="G471" t="s">
        <v>10</v>
      </c>
    </row>
    <row r="472" spans="1:7" x14ac:dyDescent="0.3">
      <c r="A472" t="s">
        <v>154</v>
      </c>
      <c r="B472" t="s">
        <v>21</v>
      </c>
      <c r="C472" t="s">
        <v>13</v>
      </c>
      <c r="D472">
        <v>23</v>
      </c>
      <c r="E472">
        <v>11567</v>
      </c>
      <c r="F472">
        <v>16599</v>
      </c>
      <c r="G472" t="s">
        <v>26</v>
      </c>
    </row>
    <row r="473" spans="1:7" x14ac:dyDescent="0.3">
      <c r="A473" t="s">
        <v>58</v>
      </c>
      <c r="B473" t="s">
        <v>19</v>
      </c>
      <c r="C473" t="s">
        <v>13</v>
      </c>
      <c r="D473">
        <v>16</v>
      </c>
      <c r="E473">
        <v>21605</v>
      </c>
      <c r="F473">
        <v>13770</v>
      </c>
      <c r="G473" t="s">
        <v>10</v>
      </c>
    </row>
    <row r="474" spans="1:7" x14ac:dyDescent="0.3">
      <c r="A474" t="s">
        <v>116</v>
      </c>
      <c r="B474" t="s">
        <v>35</v>
      </c>
      <c r="C474" t="s">
        <v>22</v>
      </c>
      <c r="D474">
        <v>10</v>
      </c>
      <c r="E474">
        <v>9281</v>
      </c>
      <c r="F474">
        <v>24473</v>
      </c>
      <c r="G474" t="s">
        <v>10</v>
      </c>
    </row>
    <row r="475" spans="1:7" x14ac:dyDescent="0.3">
      <c r="A475" t="s">
        <v>107</v>
      </c>
      <c r="B475" t="s">
        <v>54</v>
      </c>
      <c r="C475" t="s">
        <v>13</v>
      </c>
      <c r="D475">
        <v>7</v>
      </c>
      <c r="E475">
        <v>27710</v>
      </c>
      <c r="F475">
        <v>20005</v>
      </c>
      <c r="G475" t="s">
        <v>10</v>
      </c>
    </row>
    <row r="476" spans="1:7" x14ac:dyDescent="0.3">
      <c r="A476" t="s">
        <v>134</v>
      </c>
      <c r="B476" t="s">
        <v>17</v>
      </c>
      <c r="C476" t="s">
        <v>13</v>
      </c>
      <c r="D476">
        <v>23</v>
      </c>
      <c r="E476">
        <v>8254</v>
      </c>
      <c r="F476">
        <v>19525</v>
      </c>
      <c r="G476" t="s">
        <v>10</v>
      </c>
    </row>
    <row r="477" spans="1:7" x14ac:dyDescent="0.3">
      <c r="A477" t="s">
        <v>108</v>
      </c>
      <c r="B477" t="s">
        <v>17</v>
      </c>
      <c r="C477" t="s">
        <v>22</v>
      </c>
      <c r="D477">
        <v>9</v>
      </c>
      <c r="E477">
        <v>10178</v>
      </c>
      <c r="F477">
        <v>23873</v>
      </c>
      <c r="G477" t="s">
        <v>10</v>
      </c>
    </row>
    <row r="478" spans="1:7" x14ac:dyDescent="0.3">
      <c r="A478" t="s">
        <v>167</v>
      </c>
      <c r="B478" t="s">
        <v>56</v>
      </c>
      <c r="C478" t="s">
        <v>13</v>
      </c>
      <c r="D478">
        <v>22</v>
      </c>
      <c r="E478">
        <v>27721</v>
      </c>
      <c r="F478">
        <v>17738</v>
      </c>
      <c r="G478" t="s">
        <v>26</v>
      </c>
    </row>
    <row r="479" spans="1:7" x14ac:dyDescent="0.3">
      <c r="A479" t="s">
        <v>94</v>
      </c>
      <c r="B479" t="s">
        <v>101</v>
      </c>
      <c r="C479" t="s">
        <v>9</v>
      </c>
      <c r="D479">
        <v>14</v>
      </c>
      <c r="E479">
        <v>20311</v>
      </c>
      <c r="F479">
        <v>18660</v>
      </c>
      <c r="G479" t="s">
        <v>10</v>
      </c>
    </row>
    <row r="480" spans="1:7" x14ac:dyDescent="0.3">
      <c r="A480" t="s">
        <v>155</v>
      </c>
      <c r="B480" t="s">
        <v>40</v>
      </c>
      <c r="C480" t="s">
        <v>13</v>
      </c>
      <c r="D480">
        <v>11</v>
      </c>
      <c r="E480">
        <v>20412</v>
      </c>
      <c r="F480">
        <v>16603</v>
      </c>
      <c r="G480" t="s">
        <v>26</v>
      </c>
    </row>
    <row r="481" spans="1:7" x14ac:dyDescent="0.3">
      <c r="A481" t="s">
        <v>138</v>
      </c>
      <c r="B481" t="s">
        <v>101</v>
      </c>
      <c r="C481" t="s">
        <v>22</v>
      </c>
      <c r="D481">
        <v>24</v>
      </c>
      <c r="E481">
        <v>28911</v>
      </c>
      <c r="F481">
        <v>23140</v>
      </c>
      <c r="G481" t="s">
        <v>10</v>
      </c>
    </row>
    <row r="482" spans="1:7" x14ac:dyDescent="0.3">
      <c r="A482" t="s">
        <v>89</v>
      </c>
      <c r="B482" t="s">
        <v>79</v>
      </c>
      <c r="C482" t="s">
        <v>13</v>
      </c>
      <c r="D482">
        <v>6</v>
      </c>
      <c r="E482">
        <v>24598</v>
      </c>
      <c r="F482">
        <v>21742</v>
      </c>
      <c r="G482" t="s">
        <v>10</v>
      </c>
    </row>
    <row r="483" spans="1:7" x14ac:dyDescent="0.3">
      <c r="A483" t="s">
        <v>208</v>
      </c>
      <c r="B483" t="s">
        <v>120</v>
      </c>
      <c r="C483" t="s">
        <v>22</v>
      </c>
      <c r="D483">
        <v>11</v>
      </c>
      <c r="E483">
        <v>26346</v>
      </c>
      <c r="F483">
        <v>17706</v>
      </c>
      <c r="G483" t="s">
        <v>10</v>
      </c>
    </row>
    <row r="484" spans="1:7" x14ac:dyDescent="0.3">
      <c r="A484" t="s">
        <v>136</v>
      </c>
      <c r="B484" t="s">
        <v>56</v>
      </c>
      <c r="C484" t="s">
        <v>9</v>
      </c>
      <c r="D484">
        <v>15</v>
      </c>
      <c r="E484">
        <v>18333</v>
      </c>
      <c r="F484">
        <v>11196</v>
      </c>
      <c r="G484" t="s">
        <v>10</v>
      </c>
    </row>
    <row r="485" spans="1:7" x14ac:dyDescent="0.3">
      <c r="A485" t="s">
        <v>89</v>
      </c>
      <c r="B485" t="s">
        <v>56</v>
      </c>
      <c r="C485" t="s">
        <v>13</v>
      </c>
      <c r="D485">
        <v>8</v>
      </c>
      <c r="E485">
        <v>11101</v>
      </c>
      <c r="F485">
        <v>17461</v>
      </c>
      <c r="G485" t="s">
        <v>10</v>
      </c>
    </row>
    <row r="486" spans="1:7" x14ac:dyDescent="0.3">
      <c r="A486" t="s">
        <v>127</v>
      </c>
      <c r="B486" t="s">
        <v>35</v>
      </c>
      <c r="C486" t="s">
        <v>22</v>
      </c>
      <c r="D486">
        <v>6</v>
      </c>
      <c r="E486">
        <v>8470</v>
      </c>
      <c r="F486">
        <v>22497</v>
      </c>
      <c r="G486" t="s">
        <v>10</v>
      </c>
    </row>
    <row r="487" spans="1:7" x14ac:dyDescent="0.3">
      <c r="A487" t="s">
        <v>191</v>
      </c>
      <c r="B487" t="s">
        <v>73</v>
      </c>
      <c r="C487" t="s">
        <v>13</v>
      </c>
      <c r="D487">
        <v>24</v>
      </c>
      <c r="E487">
        <v>29493</v>
      </c>
      <c r="F487">
        <v>13363</v>
      </c>
      <c r="G487" t="s">
        <v>10</v>
      </c>
    </row>
    <row r="488" spans="1:7" x14ac:dyDescent="0.3">
      <c r="A488" t="s">
        <v>205</v>
      </c>
      <c r="B488" t="s">
        <v>33</v>
      </c>
      <c r="C488" t="s">
        <v>22</v>
      </c>
      <c r="D488">
        <v>20</v>
      </c>
      <c r="E488">
        <v>13011</v>
      </c>
      <c r="F488">
        <v>14581</v>
      </c>
      <c r="G488" t="s">
        <v>10</v>
      </c>
    </row>
    <row r="489" spans="1:7" x14ac:dyDescent="0.3">
      <c r="A489" t="s">
        <v>94</v>
      </c>
      <c r="B489" t="s">
        <v>42</v>
      </c>
      <c r="C489" t="s">
        <v>22</v>
      </c>
      <c r="D489">
        <v>18</v>
      </c>
      <c r="E489">
        <v>29367</v>
      </c>
      <c r="F489">
        <v>22081</v>
      </c>
      <c r="G489" t="s">
        <v>10</v>
      </c>
    </row>
    <row r="490" spans="1:7" x14ac:dyDescent="0.3">
      <c r="A490" t="s">
        <v>11</v>
      </c>
      <c r="B490" t="s">
        <v>15</v>
      </c>
      <c r="C490" t="s">
        <v>22</v>
      </c>
      <c r="D490">
        <v>13</v>
      </c>
      <c r="E490">
        <v>26604</v>
      </c>
      <c r="F490">
        <v>17705</v>
      </c>
      <c r="G490" t="s">
        <v>10</v>
      </c>
    </row>
    <row r="491" spans="1:7" x14ac:dyDescent="0.3">
      <c r="A491" t="s">
        <v>197</v>
      </c>
      <c r="B491" t="s">
        <v>19</v>
      </c>
      <c r="C491" t="s">
        <v>13</v>
      </c>
      <c r="D491">
        <v>19</v>
      </c>
      <c r="E491">
        <v>15199</v>
      </c>
      <c r="F491">
        <v>24502</v>
      </c>
      <c r="G491" t="s">
        <v>10</v>
      </c>
    </row>
    <row r="492" spans="1:7" x14ac:dyDescent="0.3">
      <c r="A492" t="s">
        <v>192</v>
      </c>
      <c r="B492" t="s">
        <v>46</v>
      </c>
      <c r="C492" t="s">
        <v>13</v>
      </c>
      <c r="D492">
        <v>8</v>
      </c>
      <c r="E492">
        <v>25078</v>
      </c>
      <c r="F492">
        <v>14276</v>
      </c>
      <c r="G492" t="s">
        <v>26</v>
      </c>
    </row>
    <row r="493" spans="1:7" x14ac:dyDescent="0.3">
      <c r="A493" t="s">
        <v>63</v>
      </c>
      <c r="B493" t="s">
        <v>17</v>
      </c>
      <c r="C493" t="s">
        <v>22</v>
      </c>
      <c r="D493">
        <v>25</v>
      </c>
      <c r="E493">
        <v>16362</v>
      </c>
      <c r="F493">
        <v>24927</v>
      </c>
      <c r="G493" t="s">
        <v>10</v>
      </c>
    </row>
    <row r="494" spans="1:7" x14ac:dyDescent="0.3">
      <c r="A494" t="s">
        <v>137</v>
      </c>
      <c r="B494" t="s">
        <v>19</v>
      </c>
      <c r="C494" t="s">
        <v>22</v>
      </c>
      <c r="D494">
        <v>17</v>
      </c>
      <c r="E494">
        <v>11990</v>
      </c>
      <c r="F494">
        <v>10825</v>
      </c>
      <c r="G494" t="s">
        <v>10</v>
      </c>
    </row>
    <row r="495" spans="1:7" x14ac:dyDescent="0.3">
      <c r="A495" t="s">
        <v>207</v>
      </c>
      <c r="B495" t="s">
        <v>33</v>
      </c>
      <c r="C495" t="s">
        <v>22</v>
      </c>
      <c r="D495">
        <v>10</v>
      </c>
      <c r="E495">
        <v>17060</v>
      </c>
      <c r="F495">
        <v>13881</v>
      </c>
      <c r="G495" t="s">
        <v>10</v>
      </c>
    </row>
    <row r="496" spans="1:7" x14ac:dyDescent="0.3">
      <c r="A496" t="s">
        <v>118</v>
      </c>
      <c r="B496" t="s">
        <v>101</v>
      </c>
      <c r="C496" t="s">
        <v>9</v>
      </c>
      <c r="D496">
        <v>8</v>
      </c>
      <c r="E496">
        <v>20295</v>
      </c>
      <c r="F496">
        <v>11770</v>
      </c>
      <c r="G496" t="s">
        <v>10</v>
      </c>
    </row>
    <row r="497" spans="1:7" x14ac:dyDescent="0.3">
      <c r="A497" t="s">
        <v>53</v>
      </c>
      <c r="B497" t="s">
        <v>52</v>
      </c>
      <c r="C497" t="s">
        <v>9</v>
      </c>
      <c r="D497">
        <v>13</v>
      </c>
      <c r="E497">
        <v>6076</v>
      </c>
      <c r="F497">
        <v>13767</v>
      </c>
      <c r="G497" t="s">
        <v>10</v>
      </c>
    </row>
    <row r="498" spans="1:7" x14ac:dyDescent="0.3">
      <c r="A498" t="s">
        <v>207</v>
      </c>
      <c r="B498" t="s">
        <v>67</v>
      </c>
      <c r="C498" t="s">
        <v>9</v>
      </c>
      <c r="D498">
        <v>6</v>
      </c>
      <c r="E498">
        <v>12280</v>
      </c>
      <c r="F498">
        <v>15279</v>
      </c>
      <c r="G498" t="s">
        <v>10</v>
      </c>
    </row>
    <row r="499" spans="1:7" x14ac:dyDescent="0.3">
      <c r="A499" t="s">
        <v>167</v>
      </c>
      <c r="B499" t="s">
        <v>52</v>
      </c>
      <c r="C499" t="s">
        <v>22</v>
      </c>
      <c r="D499">
        <v>12</v>
      </c>
      <c r="E499">
        <v>13715</v>
      </c>
      <c r="F499">
        <v>10328</v>
      </c>
      <c r="G499" t="s">
        <v>10</v>
      </c>
    </row>
    <row r="500" spans="1:7" x14ac:dyDescent="0.3">
      <c r="A500" t="s">
        <v>116</v>
      </c>
      <c r="B500" t="s">
        <v>101</v>
      </c>
      <c r="C500" t="s">
        <v>9</v>
      </c>
      <c r="D500">
        <v>19</v>
      </c>
      <c r="E500">
        <v>5888</v>
      </c>
      <c r="F500">
        <v>19051</v>
      </c>
      <c r="G500" t="s">
        <v>10</v>
      </c>
    </row>
    <row r="501" spans="1:7" x14ac:dyDescent="0.3">
      <c r="A501" t="s">
        <v>152</v>
      </c>
      <c r="B501" t="s">
        <v>21</v>
      </c>
      <c r="C501" t="s">
        <v>22</v>
      </c>
      <c r="D501">
        <v>25</v>
      </c>
      <c r="E501">
        <v>11363</v>
      </c>
      <c r="F501">
        <v>20855</v>
      </c>
      <c r="G501" t="s">
        <v>10</v>
      </c>
    </row>
    <row r="502" spans="1:7" x14ac:dyDescent="0.3">
      <c r="A502" t="s">
        <v>100</v>
      </c>
      <c r="B502" t="s">
        <v>73</v>
      </c>
      <c r="C502" t="s">
        <v>9</v>
      </c>
      <c r="D502">
        <v>16</v>
      </c>
      <c r="E502">
        <v>8516</v>
      </c>
      <c r="F502">
        <v>19433</v>
      </c>
      <c r="G502" t="s">
        <v>10</v>
      </c>
    </row>
    <row r="503" spans="1:7" x14ac:dyDescent="0.3">
      <c r="A503" t="s">
        <v>121</v>
      </c>
      <c r="B503" t="s">
        <v>27</v>
      </c>
      <c r="C503" t="s">
        <v>9</v>
      </c>
      <c r="D503">
        <v>19</v>
      </c>
      <c r="E503">
        <v>8983</v>
      </c>
      <c r="F503">
        <v>24798</v>
      </c>
      <c r="G503" t="s">
        <v>10</v>
      </c>
    </row>
    <row r="504" spans="1:7" x14ac:dyDescent="0.3">
      <c r="A504" t="s">
        <v>102</v>
      </c>
      <c r="B504" t="s">
        <v>8</v>
      </c>
      <c r="C504" t="s">
        <v>13</v>
      </c>
      <c r="D504">
        <v>24</v>
      </c>
      <c r="E504">
        <v>21162</v>
      </c>
      <c r="F504">
        <v>19553</v>
      </c>
      <c r="G504" t="s">
        <v>10</v>
      </c>
    </row>
    <row r="505" spans="1:7" x14ac:dyDescent="0.3">
      <c r="A505" t="s">
        <v>135</v>
      </c>
      <c r="B505" t="s">
        <v>17</v>
      </c>
      <c r="C505" t="s">
        <v>9</v>
      </c>
      <c r="D505">
        <v>16</v>
      </c>
      <c r="E505">
        <v>6077</v>
      </c>
      <c r="F505">
        <v>19102</v>
      </c>
      <c r="G505" t="s">
        <v>10</v>
      </c>
    </row>
    <row r="506" spans="1:7" x14ac:dyDescent="0.3">
      <c r="A506" t="s">
        <v>57</v>
      </c>
      <c r="B506" t="s">
        <v>73</v>
      </c>
      <c r="C506" t="s">
        <v>22</v>
      </c>
      <c r="D506">
        <v>21</v>
      </c>
      <c r="E506">
        <v>11212</v>
      </c>
      <c r="F506">
        <v>24054</v>
      </c>
      <c r="G506" t="s">
        <v>10</v>
      </c>
    </row>
    <row r="507" spans="1:7" x14ac:dyDescent="0.3">
      <c r="A507" t="s">
        <v>210</v>
      </c>
      <c r="B507" t="s">
        <v>15</v>
      </c>
      <c r="C507" t="s">
        <v>9</v>
      </c>
      <c r="D507">
        <v>17</v>
      </c>
      <c r="E507">
        <v>16927</v>
      </c>
      <c r="F507">
        <v>18711</v>
      </c>
      <c r="G507" t="s">
        <v>10</v>
      </c>
    </row>
    <row r="508" spans="1:7" x14ac:dyDescent="0.3">
      <c r="A508" t="s">
        <v>150</v>
      </c>
      <c r="B508" t="s">
        <v>73</v>
      </c>
      <c r="C508" t="s">
        <v>22</v>
      </c>
      <c r="D508">
        <v>17</v>
      </c>
      <c r="E508">
        <v>24016</v>
      </c>
      <c r="F508">
        <v>22187</v>
      </c>
      <c r="G508" t="s">
        <v>26</v>
      </c>
    </row>
    <row r="509" spans="1:7" x14ac:dyDescent="0.3">
      <c r="A509" t="s">
        <v>71</v>
      </c>
      <c r="B509" t="s">
        <v>120</v>
      </c>
      <c r="C509" t="s">
        <v>9</v>
      </c>
      <c r="D509">
        <v>17</v>
      </c>
      <c r="E509">
        <v>7923</v>
      </c>
      <c r="F509">
        <v>12267</v>
      </c>
      <c r="G509" t="s">
        <v>10</v>
      </c>
    </row>
    <row r="510" spans="1:7" x14ac:dyDescent="0.3">
      <c r="A510" t="s">
        <v>74</v>
      </c>
      <c r="B510" t="s">
        <v>69</v>
      </c>
      <c r="C510" t="s">
        <v>22</v>
      </c>
      <c r="D510">
        <v>15</v>
      </c>
      <c r="E510">
        <v>29854</v>
      </c>
      <c r="F510">
        <v>22540</v>
      </c>
      <c r="G510" t="s">
        <v>10</v>
      </c>
    </row>
    <row r="511" spans="1:7" x14ac:dyDescent="0.3">
      <c r="A511" t="s">
        <v>77</v>
      </c>
      <c r="B511" t="s">
        <v>67</v>
      </c>
      <c r="C511" t="s">
        <v>9</v>
      </c>
      <c r="D511">
        <v>15</v>
      </c>
      <c r="E511">
        <v>21458</v>
      </c>
      <c r="F511">
        <v>13997</v>
      </c>
      <c r="G511" t="s">
        <v>10</v>
      </c>
    </row>
    <row r="512" spans="1:7" x14ac:dyDescent="0.3">
      <c r="A512" t="s">
        <v>36</v>
      </c>
      <c r="B512" t="s">
        <v>25</v>
      </c>
      <c r="C512" t="s">
        <v>22</v>
      </c>
      <c r="D512">
        <v>11</v>
      </c>
      <c r="E512">
        <v>29786</v>
      </c>
      <c r="F512">
        <v>24429</v>
      </c>
      <c r="G512" t="s">
        <v>10</v>
      </c>
    </row>
    <row r="513" spans="1:7" x14ac:dyDescent="0.3">
      <c r="A513" t="s">
        <v>45</v>
      </c>
      <c r="B513" t="s">
        <v>120</v>
      </c>
      <c r="C513" t="s">
        <v>22</v>
      </c>
      <c r="D513">
        <v>19</v>
      </c>
      <c r="E513">
        <v>9512</v>
      </c>
      <c r="F513">
        <v>13608</v>
      </c>
      <c r="G513" t="s">
        <v>10</v>
      </c>
    </row>
    <row r="514" spans="1:7" x14ac:dyDescent="0.3">
      <c r="A514" t="s">
        <v>142</v>
      </c>
      <c r="B514" t="s">
        <v>67</v>
      </c>
      <c r="C514" t="s">
        <v>9</v>
      </c>
      <c r="D514">
        <v>24</v>
      </c>
      <c r="E514">
        <v>28214</v>
      </c>
      <c r="F514">
        <v>10515</v>
      </c>
      <c r="G514" t="s">
        <v>10</v>
      </c>
    </row>
    <row r="515" spans="1:7" x14ac:dyDescent="0.3">
      <c r="A515" t="s">
        <v>161</v>
      </c>
      <c r="B515" t="s">
        <v>75</v>
      </c>
      <c r="C515" t="s">
        <v>13</v>
      </c>
      <c r="D515">
        <v>12</v>
      </c>
      <c r="E515">
        <v>29536</v>
      </c>
      <c r="F515">
        <v>24831</v>
      </c>
      <c r="G515" t="s">
        <v>10</v>
      </c>
    </row>
    <row r="516" spans="1:7" x14ac:dyDescent="0.3">
      <c r="A516" t="s">
        <v>181</v>
      </c>
      <c r="B516" t="s">
        <v>101</v>
      </c>
      <c r="C516" t="s">
        <v>13</v>
      </c>
      <c r="D516">
        <v>16</v>
      </c>
      <c r="E516">
        <v>28081</v>
      </c>
      <c r="F516">
        <v>16969</v>
      </c>
      <c r="G516" t="s">
        <v>10</v>
      </c>
    </row>
    <row r="517" spans="1:7" x14ac:dyDescent="0.3">
      <c r="A517" t="s">
        <v>93</v>
      </c>
      <c r="B517" t="s">
        <v>42</v>
      </c>
      <c r="C517" t="s">
        <v>13</v>
      </c>
      <c r="D517">
        <v>15</v>
      </c>
      <c r="E517">
        <v>26875</v>
      </c>
      <c r="F517">
        <v>14123</v>
      </c>
      <c r="G517" t="s">
        <v>10</v>
      </c>
    </row>
    <row r="518" spans="1:7" x14ac:dyDescent="0.3">
      <c r="A518" t="s">
        <v>175</v>
      </c>
      <c r="B518" t="s">
        <v>19</v>
      </c>
      <c r="C518" t="s">
        <v>22</v>
      </c>
      <c r="D518">
        <v>18</v>
      </c>
      <c r="E518">
        <v>7096</v>
      </c>
      <c r="F518">
        <v>18700</v>
      </c>
      <c r="G518" t="s">
        <v>10</v>
      </c>
    </row>
    <row r="519" spans="1:7" x14ac:dyDescent="0.3">
      <c r="A519" t="s">
        <v>177</v>
      </c>
      <c r="B519" t="s">
        <v>67</v>
      </c>
      <c r="C519" t="s">
        <v>13</v>
      </c>
      <c r="D519">
        <v>25</v>
      </c>
      <c r="E519">
        <v>12634</v>
      </c>
      <c r="F519">
        <v>20092</v>
      </c>
      <c r="G519" t="s">
        <v>10</v>
      </c>
    </row>
    <row r="520" spans="1:7" x14ac:dyDescent="0.3">
      <c r="A520" t="s">
        <v>209</v>
      </c>
      <c r="B520" t="s">
        <v>29</v>
      </c>
      <c r="C520" t="s">
        <v>13</v>
      </c>
      <c r="D520">
        <v>13</v>
      </c>
      <c r="E520">
        <v>6134</v>
      </c>
      <c r="F520">
        <v>20646</v>
      </c>
      <c r="G520" t="s">
        <v>10</v>
      </c>
    </row>
    <row r="521" spans="1:7" x14ac:dyDescent="0.3">
      <c r="A521" t="s">
        <v>211</v>
      </c>
      <c r="B521" t="s">
        <v>25</v>
      </c>
      <c r="C521" t="s">
        <v>13</v>
      </c>
      <c r="D521">
        <v>24</v>
      </c>
      <c r="E521">
        <v>21240</v>
      </c>
      <c r="F521">
        <v>14322</v>
      </c>
      <c r="G521" t="s">
        <v>10</v>
      </c>
    </row>
    <row r="522" spans="1:7" x14ac:dyDescent="0.3">
      <c r="A522" t="s">
        <v>11</v>
      </c>
      <c r="B522" t="s">
        <v>75</v>
      </c>
      <c r="C522" t="s">
        <v>9</v>
      </c>
      <c r="D522">
        <v>20</v>
      </c>
      <c r="E522">
        <v>9529</v>
      </c>
      <c r="F522">
        <v>22262</v>
      </c>
      <c r="G522" t="s">
        <v>10</v>
      </c>
    </row>
    <row r="523" spans="1:7" x14ac:dyDescent="0.3">
      <c r="A523" t="s">
        <v>111</v>
      </c>
      <c r="B523" t="s">
        <v>19</v>
      </c>
      <c r="C523" t="s">
        <v>13</v>
      </c>
      <c r="D523">
        <v>11</v>
      </c>
      <c r="E523">
        <v>16552</v>
      </c>
      <c r="F523">
        <v>20884</v>
      </c>
      <c r="G523" t="s">
        <v>10</v>
      </c>
    </row>
    <row r="524" spans="1:7" x14ac:dyDescent="0.3">
      <c r="A524" t="s">
        <v>93</v>
      </c>
      <c r="B524" t="s">
        <v>67</v>
      </c>
      <c r="C524" t="s">
        <v>13</v>
      </c>
      <c r="D524">
        <v>25</v>
      </c>
      <c r="E524">
        <v>8241</v>
      </c>
      <c r="F524">
        <v>18080</v>
      </c>
      <c r="G524" t="s">
        <v>10</v>
      </c>
    </row>
    <row r="525" spans="1:7" x14ac:dyDescent="0.3">
      <c r="A525" t="s">
        <v>208</v>
      </c>
      <c r="B525" t="s">
        <v>73</v>
      </c>
      <c r="C525" t="s">
        <v>13</v>
      </c>
      <c r="D525">
        <v>24</v>
      </c>
      <c r="E525">
        <v>6936</v>
      </c>
      <c r="F525">
        <v>12787</v>
      </c>
      <c r="G525" t="s">
        <v>10</v>
      </c>
    </row>
    <row r="526" spans="1:7" x14ac:dyDescent="0.3">
      <c r="A526" t="s">
        <v>146</v>
      </c>
      <c r="B526" t="s">
        <v>54</v>
      </c>
      <c r="C526" t="s">
        <v>22</v>
      </c>
      <c r="D526">
        <v>7</v>
      </c>
      <c r="E526">
        <v>12405</v>
      </c>
      <c r="F526">
        <v>22641</v>
      </c>
      <c r="G526" t="s">
        <v>10</v>
      </c>
    </row>
    <row r="527" spans="1:7" x14ac:dyDescent="0.3">
      <c r="A527" t="s">
        <v>74</v>
      </c>
      <c r="B527" t="s">
        <v>31</v>
      </c>
      <c r="C527" t="s">
        <v>9</v>
      </c>
      <c r="D527">
        <v>6</v>
      </c>
      <c r="E527">
        <v>29179</v>
      </c>
      <c r="F527">
        <v>22461</v>
      </c>
      <c r="G527" t="s">
        <v>10</v>
      </c>
    </row>
    <row r="528" spans="1:7" x14ac:dyDescent="0.3">
      <c r="A528" t="s">
        <v>82</v>
      </c>
      <c r="B528" t="s">
        <v>42</v>
      </c>
      <c r="C528" t="s">
        <v>22</v>
      </c>
      <c r="D528">
        <v>12</v>
      </c>
      <c r="E528">
        <v>27954</v>
      </c>
      <c r="F528">
        <v>11261</v>
      </c>
      <c r="G528" t="s">
        <v>10</v>
      </c>
    </row>
    <row r="529" spans="1:7" x14ac:dyDescent="0.3">
      <c r="A529" t="s">
        <v>176</v>
      </c>
      <c r="B529" t="s">
        <v>15</v>
      </c>
      <c r="C529" t="s">
        <v>13</v>
      </c>
      <c r="D529">
        <v>17</v>
      </c>
      <c r="E529">
        <v>29928</v>
      </c>
      <c r="F529">
        <v>20557</v>
      </c>
      <c r="G529" t="s">
        <v>10</v>
      </c>
    </row>
    <row r="530" spans="1:7" x14ac:dyDescent="0.3">
      <c r="A530" t="s">
        <v>57</v>
      </c>
      <c r="B530" t="s">
        <v>101</v>
      </c>
      <c r="C530" t="s">
        <v>22</v>
      </c>
      <c r="D530">
        <v>11</v>
      </c>
      <c r="E530">
        <v>20697</v>
      </c>
      <c r="F530">
        <v>23987</v>
      </c>
      <c r="G530" t="s">
        <v>10</v>
      </c>
    </row>
    <row r="531" spans="1:7" x14ac:dyDescent="0.3">
      <c r="A531" t="s">
        <v>84</v>
      </c>
      <c r="B531" t="s">
        <v>75</v>
      </c>
      <c r="C531" t="s">
        <v>9</v>
      </c>
      <c r="D531">
        <v>16</v>
      </c>
      <c r="E531">
        <v>8110</v>
      </c>
      <c r="F531">
        <v>11486</v>
      </c>
      <c r="G531" t="s">
        <v>26</v>
      </c>
    </row>
    <row r="532" spans="1:7" x14ac:dyDescent="0.3">
      <c r="A532" t="s">
        <v>128</v>
      </c>
      <c r="B532" t="s">
        <v>92</v>
      </c>
      <c r="C532" t="s">
        <v>9</v>
      </c>
      <c r="D532">
        <v>24</v>
      </c>
      <c r="E532">
        <v>20716</v>
      </c>
      <c r="F532">
        <v>19439</v>
      </c>
      <c r="G532" t="s">
        <v>10</v>
      </c>
    </row>
    <row r="533" spans="1:7" x14ac:dyDescent="0.3">
      <c r="A533" t="s">
        <v>134</v>
      </c>
      <c r="B533" t="s">
        <v>33</v>
      </c>
      <c r="C533" t="s">
        <v>22</v>
      </c>
      <c r="D533">
        <v>19</v>
      </c>
      <c r="E533">
        <v>15746</v>
      </c>
      <c r="F533">
        <v>17458</v>
      </c>
      <c r="G533" t="s">
        <v>10</v>
      </c>
    </row>
    <row r="534" spans="1:7" x14ac:dyDescent="0.3">
      <c r="A534" t="s">
        <v>139</v>
      </c>
      <c r="B534" t="s">
        <v>79</v>
      </c>
      <c r="C534" t="s">
        <v>22</v>
      </c>
      <c r="D534">
        <v>15</v>
      </c>
      <c r="E534">
        <v>19955</v>
      </c>
      <c r="F534">
        <v>17430</v>
      </c>
      <c r="G534" t="s">
        <v>10</v>
      </c>
    </row>
    <row r="535" spans="1:7" x14ac:dyDescent="0.3">
      <c r="A535" t="s">
        <v>93</v>
      </c>
      <c r="B535" t="s">
        <v>101</v>
      </c>
      <c r="C535" t="s">
        <v>9</v>
      </c>
      <c r="D535">
        <v>7</v>
      </c>
      <c r="E535">
        <v>15525</v>
      </c>
      <c r="F535">
        <v>12486</v>
      </c>
      <c r="G535" t="s">
        <v>10</v>
      </c>
    </row>
    <row r="536" spans="1:7" x14ac:dyDescent="0.3">
      <c r="A536" t="s">
        <v>141</v>
      </c>
      <c r="B536" t="s">
        <v>37</v>
      </c>
      <c r="C536" t="s">
        <v>13</v>
      </c>
      <c r="D536">
        <v>18</v>
      </c>
      <c r="E536">
        <v>7855</v>
      </c>
      <c r="F536">
        <v>21739</v>
      </c>
      <c r="G536" t="s">
        <v>10</v>
      </c>
    </row>
    <row r="537" spans="1:7" x14ac:dyDescent="0.3">
      <c r="A537" t="s">
        <v>123</v>
      </c>
      <c r="B537" t="s">
        <v>19</v>
      </c>
      <c r="C537" t="s">
        <v>13</v>
      </c>
      <c r="D537">
        <v>19</v>
      </c>
      <c r="E537">
        <v>20189</v>
      </c>
      <c r="F537">
        <v>21107</v>
      </c>
      <c r="G537" t="s">
        <v>10</v>
      </c>
    </row>
    <row r="538" spans="1:7" x14ac:dyDescent="0.3">
      <c r="A538" t="s">
        <v>63</v>
      </c>
      <c r="B538" t="s">
        <v>42</v>
      </c>
      <c r="C538" t="s">
        <v>22</v>
      </c>
      <c r="D538">
        <v>9</v>
      </c>
      <c r="E538">
        <v>6228</v>
      </c>
      <c r="F538">
        <v>11167</v>
      </c>
      <c r="G538" t="s">
        <v>10</v>
      </c>
    </row>
    <row r="539" spans="1:7" x14ac:dyDescent="0.3">
      <c r="A539" t="s">
        <v>183</v>
      </c>
      <c r="B539" t="s">
        <v>56</v>
      </c>
      <c r="C539" t="s">
        <v>9</v>
      </c>
      <c r="D539">
        <v>8</v>
      </c>
      <c r="E539">
        <v>15381</v>
      </c>
      <c r="F539">
        <v>13100</v>
      </c>
      <c r="G539" t="s">
        <v>26</v>
      </c>
    </row>
    <row r="540" spans="1:7" x14ac:dyDescent="0.3">
      <c r="A540" t="s">
        <v>23</v>
      </c>
      <c r="B540" t="s">
        <v>31</v>
      </c>
      <c r="C540" t="s">
        <v>13</v>
      </c>
      <c r="D540">
        <v>25</v>
      </c>
      <c r="E540">
        <v>25759</v>
      </c>
      <c r="F540">
        <v>19686</v>
      </c>
      <c r="G540" t="s">
        <v>10</v>
      </c>
    </row>
    <row r="541" spans="1:7" x14ac:dyDescent="0.3">
      <c r="A541" t="s">
        <v>93</v>
      </c>
      <c r="B541" t="s">
        <v>42</v>
      </c>
      <c r="C541" t="s">
        <v>9</v>
      </c>
      <c r="D541">
        <v>19</v>
      </c>
      <c r="E541">
        <v>26830</v>
      </c>
      <c r="F541">
        <v>16593</v>
      </c>
      <c r="G541" t="s">
        <v>10</v>
      </c>
    </row>
    <row r="542" spans="1:7" x14ac:dyDescent="0.3">
      <c r="A542" t="s">
        <v>23</v>
      </c>
      <c r="B542" t="s">
        <v>56</v>
      </c>
      <c r="C542" t="s">
        <v>9</v>
      </c>
      <c r="D542">
        <v>14</v>
      </c>
      <c r="E542">
        <v>13917</v>
      </c>
      <c r="F542">
        <v>21249</v>
      </c>
      <c r="G542" t="s">
        <v>10</v>
      </c>
    </row>
    <row r="543" spans="1:7" x14ac:dyDescent="0.3">
      <c r="A543" t="s">
        <v>212</v>
      </c>
      <c r="B543" t="s">
        <v>27</v>
      </c>
      <c r="C543" t="s">
        <v>13</v>
      </c>
      <c r="D543">
        <v>20</v>
      </c>
      <c r="E543">
        <v>15796</v>
      </c>
      <c r="F543">
        <v>18074</v>
      </c>
      <c r="G543" t="s">
        <v>10</v>
      </c>
    </row>
    <row r="544" spans="1:7" x14ac:dyDescent="0.3">
      <c r="A544" t="s">
        <v>47</v>
      </c>
      <c r="B544" t="s">
        <v>69</v>
      </c>
      <c r="C544" t="s">
        <v>13</v>
      </c>
      <c r="D544">
        <v>24</v>
      </c>
      <c r="E544">
        <v>15114</v>
      </c>
      <c r="F544">
        <v>19724</v>
      </c>
      <c r="G544" t="s">
        <v>10</v>
      </c>
    </row>
    <row r="545" spans="1:7" x14ac:dyDescent="0.3">
      <c r="A545" t="s">
        <v>178</v>
      </c>
      <c r="B545" t="s">
        <v>54</v>
      </c>
      <c r="C545" t="s">
        <v>22</v>
      </c>
      <c r="D545">
        <v>5</v>
      </c>
      <c r="E545">
        <v>16056</v>
      </c>
      <c r="F545">
        <v>15333</v>
      </c>
      <c r="G545" t="s">
        <v>10</v>
      </c>
    </row>
    <row r="546" spans="1:7" x14ac:dyDescent="0.3">
      <c r="A546" t="s">
        <v>161</v>
      </c>
      <c r="B546" t="s">
        <v>33</v>
      </c>
      <c r="C546" t="s">
        <v>13</v>
      </c>
      <c r="D546">
        <v>10</v>
      </c>
      <c r="E546">
        <v>29275</v>
      </c>
      <c r="F546">
        <v>13417</v>
      </c>
      <c r="G546" t="s">
        <v>10</v>
      </c>
    </row>
    <row r="547" spans="1:7" x14ac:dyDescent="0.3">
      <c r="A547" t="s">
        <v>197</v>
      </c>
      <c r="B547" t="s">
        <v>92</v>
      </c>
      <c r="C547" t="s">
        <v>13</v>
      </c>
      <c r="D547">
        <v>5</v>
      </c>
      <c r="E547">
        <v>15477</v>
      </c>
      <c r="F547">
        <v>18642</v>
      </c>
      <c r="G547" t="s">
        <v>10</v>
      </c>
    </row>
    <row r="548" spans="1:7" x14ac:dyDescent="0.3">
      <c r="A548" t="s">
        <v>58</v>
      </c>
      <c r="B548" t="s">
        <v>40</v>
      </c>
      <c r="C548" t="s">
        <v>22</v>
      </c>
      <c r="D548">
        <v>24</v>
      </c>
      <c r="E548">
        <v>11561</v>
      </c>
      <c r="F548">
        <v>21425</v>
      </c>
      <c r="G548" t="s">
        <v>10</v>
      </c>
    </row>
    <row r="549" spans="1:7" x14ac:dyDescent="0.3">
      <c r="A549" t="s">
        <v>168</v>
      </c>
      <c r="B549" t="s">
        <v>92</v>
      </c>
      <c r="C549" t="s">
        <v>9</v>
      </c>
      <c r="D549">
        <v>12</v>
      </c>
      <c r="E549">
        <v>21886</v>
      </c>
      <c r="F549">
        <v>10965</v>
      </c>
      <c r="G549" t="s">
        <v>10</v>
      </c>
    </row>
    <row r="550" spans="1:7" x14ac:dyDescent="0.3">
      <c r="A550" t="s">
        <v>74</v>
      </c>
      <c r="B550" t="s">
        <v>8</v>
      </c>
      <c r="C550" t="s">
        <v>9</v>
      </c>
      <c r="D550">
        <v>7</v>
      </c>
      <c r="E550">
        <v>20747</v>
      </c>
      <c r="F550">
        <v>23360</v>
      </c>
      <c r="G550" t="s">
        <v>10</v>
      </c>
    </row>
    <row r="551" spans="1:7" x14ac:dyDescent="0.3">
      <c r="A551" t="s">
        <v>173</v>
      </c>
      <c r="B551" t="s">
        <v>52</v>
      </c>
      <c r="C551" t="s">
        <v>9</v>
      </c>
      <c r="D551">
        <v>9</v>
      </c>
      <c r="E551">
        <v>19029</v>
      </c>
      <c r="F551">
        <v>17999</v>
      </c>
      <c r="G551" t="s">
        <v>26</v>
      </c>
    </row>
    <row r="552" spans="1:7" x14ac:dyDescent="0.3">
      <c r="A552" t="s">
        <v>49</v>
      </c>
      <c r="B552" t="s">
        <v>17</v>
      </c>
      <c r="C552" t="s">
        <v>13</v>
      </c>
      <c r="D552">
        <v>13</v>
      </c>
      <c r="E552">
        <v>17093</v>
      </c>
      <c r="F552">
        <v>21772</v>
      </c>
      <c r="G552" t="s">
        <v>10</v>
      </c>
    </row>
    <row r="553" spans="1:7" x14ac:dyDescent="0.3">
      <c r="A553" t="s">
        <v>213</v>
      </c>
      <c r="B553" t="s">
        <v>56</v>
      </c>
      <c r="C553" t="s">
        <v>9</v>
      </c>
      <c r="D553">
        <v>12</v>
      </c>
      <c r="E553">
        <v>14756</v>
      </c>
      <c r="F553">
        <v>23450</v>
      </c>
      <c r="G553" t="s">
        <v>10</v>
      </c>
    </row>
    <row r="554" spans="1:7" x14ac:dyDescent="0.3">
      <c r="A554" t="s">
        <v>176</v>
      </c>
      <c r="B554" t="s">
        <v>101</v>
      </c>
      <c r="C554" t="s">
        <v>22</v>
      </c>
      <c r="D554">
        <v>13</v>
      </c>
      <c r="E554">
        <v>27114</v>
      </c>
      <c r="F554">
        <v>19750</v>
      </c>
      <c r="G554" t="s">
        <v>10</v>
      </c>
    </row>
    <row r="555" spans="1:7" x14ac:dyDescent="0.3">
      <c r="A555" t="s">
        <v>214</v>
      </c>
      <c r="B555" t="s">
        <v>37</v>
      </c>
      <c r="C555" t="s">
        <v>22</v>
      </c>
      <c r="D555">
        <v>18</v>
      </c>
      <c r="E555">
        <v>27740</v>
      </c>
      <c r="F555">
        <v>19126</v>
      </c>
      <c r="G555" t="s">
        <v>10</v>
      </c>
    </row>
    <row r="556" spans="1:7" x14ac:dyDescent="0.3">
      <c r="A556" t="s">
        <v>97</v>
      </c>
      <c r="B556" t="s">
        <v>31</v>
      </c>
      <c r="C556" t="s">
        <v>9</v>
      </c>
      <c r="D556">
        <v>7</v>
      </c>
      <c r="E556">
        <v>15766</v>
      </c>
      <c r="F556">
        <v>22577</v>
      </c>
      <c r="G556" t="s">
        <v>10</v>
      </c>
    </row>
    <row r="557" spans="1:7" x14ac:dyDescent="0.3">
      <c r="A557" t="s">
        <v>86</v>
      </c>
      <c r="B557" t="s">
        <v>42</v>
      </c>
      <c r="C557" t="s">
        <v>9</v>
      </c>
      <c r="D557">
        <v>6</v>
      </c>
      <c r="E557">
        <v>18923</v>
      </c>
      <c r="F557">
        <v>24313</v>
      </c>
      <c r="G557" t="s">
        <v>10</v>
      </c>
    </row>
    <row r="558" spans="1:7" x14ac:dyDescent="0.3">
      <c r="A558" t="s">
        <v>187</v>
      </c>
      <c r="B558" t="s">
        <v>73</v>
      </c>
      <c r="C558" t="s">
        <v>22</v>
      </c>
      <c r="D558">
        <v>24</v>
      </c>
      <c r="E558">
        <v>27723</v>
      </c>
      <c r="F558">
        <v>23572</v>
      </c>
      <c r="G558" t="s">
        <v>10</v>
      </c>
    </row>
    <row r="559" spans="1:7" x14ac:dyDescent="0.3">
      <c r="A559" t="s">
        <v>38</v>
      </c>
      <c r="B559" t="s">
        <v>40</v>
      </c>
      <c r="C559" t="s">
        <v>9</v>
      </c>
      <c r="D559">
        <v>22</v>
      </c>
      <c r="E559">
        <v>28867</v>
      </c>
      <c r="F559">
        <v>14070</v>
      </c>
      <c r="G559" t="s">
        <v>10</v>
      </c>
    </row>
    <row r="560" spans="1:7" x14ac:dyDescent="0.3">
      <c r="A560" t="s">
        <v>177</v>
      </c>
      <c r="B560" t="s">
        <v>64</v>
      </c>
      <c r="C560" t="s">
        <v>9</v>
      </c>
      <c r="D560">
        <v>7</v>
      </c>
      <c r="E560">
        <v>29658</v>
      </c>
      <c r="F560">
        <v>23893</v>
      </c>
      <c r="G560" t="s">
        <v>26</v>
      </c>
    </row>
    <row r="561" spans="1:7" x14ac:dyDescent="0.3">
      <c r="A561" t="s">
        <v>209</v>
      </c>
      <c r="B561" t="s">
        <v>54</v>
      </c>
      <c r="C561" t="s">
        <v>22</v>
      </c>
      <c r="D561">
        <v>14</v>
      </c>
      <c r="E561">
        <v>17771</v>
      </c>
      <c r="F561">
        <v>16645</v>
      </c>
      <c r="G561" t="s">
        <v>10</v>
      </c>
    </row>
    <row r="562" spans="1:7" x14ac:dyDescent="0.3">
      <c r="A562" t="s">
        <v>132</v>
      </c>
      <c r="B562" t="s">
        <v>73</v>
      </c>
      <c r="C562" t="s">
        <v>13</v>
      </c>
      <c r="D562">
        <v>11</v>
      </c>
      <c r="E562">
        <v>17287</v>
      </c>
      <c r="F562">
        <v>10969</v>
      </c>
      <c r="G562" t="s">
        <v>10</v>
      </c>
    </row>
    <row r="563" spans="1:7" x14ac:dyDescent="0.3">
      <c r="A563" t="s">
        <v>111</v>
      </c>
      <c r="B563" t="s">
        <v>54</v>
      </c>
      <c r="C563" t="s">
        <v>9</v>
      </c>
      <c r="D563">
        <v>15</v>
      </c>
      <c r="E563">
        <v>5114</v>
      </c>
      <c r="F563">
        <v>14752</v>
      </c>
      <c r="G563" t="s">
        <v>10</v>
      </c>
    </row>
    <row r="564" spans="1:7" x14ac:dyDescent="0.3">
      <c r="A564" t="s">
        <v>130</v>
      </c>
      <c r="B564" t="s">
        <v>15</v>
      </c>
      <c r="C564" t="s">
        <v>13</v>
      </c>
      <c r="D564">
        <v>20</v>
      </c>
      <c r="E564">
        <v>18343</v>
      </c>
      <c r="F564">
        <v>18686</v>
      </c>
      <c r="G564" t="s">
        <v>10</v>
      </c>
    </row>
    <row r="565" spans="1:7" x14ac:dyDescent="0.3">
      <c r="A565" t="s">
        <v>206</v>
      </c>
      <c r="B565" t="s">
        <v>56</v>
      </c>
      <c r="C565" t="s">
        <v>13</v>
      </c>
      <c r="D565">
        <v>10</v>
      </c>
      <c r="E565">
        <v>28757</v>
      </c>
      <c r="F565">
        <v>22229</v>
      </c>
      <c r="G565" t="s">
        <v>10</v>
      </c>
    </row>
    <row r="566" spans="1:7" x14ac:dyDescent="0.3">
      <c r="A566" t="s">
        <v>201</v>
      </c>
      <c r="B566" t="s">
        <v>48</v>
      </c>
      <c r="C566" t="s">
        <v>13</v>
      </c>
      <c r="D566">
        <v>21</v>
      </c>
      <c r="E566">
        <v>14223</v>
      </c>
      <c r="F566">
        <v>18493</v>
      </c>
      <c r="G566" t="s">
        <v>10</v>
      </c>
    </row>
    <row r="567" spans="1:7" x14ac:dyDescent="0.3">
      <c r="A567" t="s">
        <v>14</v>
      </c>
      <c r="B567" t="s">
        <v>52</v>
      </c>
      <c r="C567" t="s">
        <v>22</v>
      </c>
      <c r="D567">
        <v>21</v>
      </c>
      <c r="E567">
        <v>7257</v>
      </c>
      <c r="F567">
        <v>19075</v>
      </c>
      <c r="G567" t="s">
        <v>26</v>
      </c>
    </row>
    <row r="568" spans="1:7" x14ac:dyDescent="0.3">
      <c r="A568" t="s">
        <v>55</v>
      </c>
      <c r="B568" t="s">
        <v>8</v>
      </c>
      <c r="C568" t="s">
        <v>13</v>
      </c>
      <c r="D568">
        <v>14</v>
      </c>
      <c r="E568">
        <v>29441</v>
      </c>
      <c r="F568">
        <v>15453</v>
      </c>
      <c r="G568" t="s">
        <v>10</v>
      </c>
    </row>
    <row r="569" spans="1:7" x14ac:dyDescent="0.3">
      <c r="A569" t="s">
        <v>65</v>
      </c>
      <c r="B569" t="s">
        <v>17</v>
      </c>
      <c r="C569" t="s">
        <v>22</v>
      </c>
      <c r="D569">
        <v>10</v>
      </c>
      <c r="E569">
        <v>14324</v>
      </c>
      <c r="F569">
        <v>19413</v>
      </c>
      <c r="G569" t="s">
        <v>10</v>
      </c>
    </row>
    <row r="570" spans="1:7" x14ac:dyDescent="0.3">
      <c r="A570" t="s">
        <v>140</v>
      </c>
      <c r="B570" t="s">
        <v>73</v>
      </c>
      <c r="C570" t="s">
        <v>13</v>
      </c>
      <c r="D570">
        <v>16</v>
      </c>
      <c r="E570">
        <v>5752</v>
      </c>
      <c r="F570">
        <v>23179</v>
      </c>
      <c r="G570" t="s">
        <v>10</v>
      </c>
    </row>
    <row r="571" spans="1:7" x14ac:dyDescent="0.3">
      <c r="A571" t="s">
        <v>193</v>
      </c>
      <c r="B571" t="s">
        <v>54</v>
      </c>
      <c r="C571" t="s">
        <v>9</v>
      </c>
      <c r="D571">
        <v>24</v>
      </c>
      <c r="E571">
        <v>13366</v>
      </c>
      <c r="F571">
        <v>21189</v>
      </c>
      <c r="G571" t="s">
        <v>10</v>
      </c>
    </row>
    <row r="572" spans="1:7" x14ac:dyDescent="0.3">
      <c r="A572" t="s">
        <v>165</v>
      </c>
      <c r="B572" t="s">
        <v>12</v>
      </c>
      <c r="C572" t="s">
        <v>13</v>
      </c>
      <c r="D572">
        <v>15</v>
      </c>
      <c r="E572">
        <v>26223</v>
      </c>
      <c r="F572">
        <v>23887</v>
      </c>
      <c r="G572" t="s">
        <v>10</v>
      </c>
    </row>
    <row r="573" spans="1:7" x14ac:dyDescent="0.3">
      <c r="A573" t="s">
        <v>159</v>
      </c>
      <c r="B573" t="s">
        <v>33</v>
      </c>
      <c r="C573" t="s">
        <v>13</v>
      </c>
      <c r="D573">
        <v>23</v>
      </c>
      <c r="E573">
        <v>6252</v>
      </c>
      <c r="F573">
        <v>16357</v>
      </c>
      <c r="G573" t="s">
        <v>10</v>
      </c>
    </row>
    <row r="574" spans="1:7" x14ac:dyDescent="0.3">
      <c r="A574" t="s">
        <v>119</v>
      </c>
      <c r="B574" t="s">
        <v>54</v>
      </c>
      <c r="C574" t="s">
        <v>9</v>
      </c>
      <c r="D574">
        <v>11</v>
      </c>
      <c r="E574">
        <v>21011</v>
      </c>
      <c r="F574">
        <v>21088</v>
      </c>
      <c r="G574" t="s">
        <v>10</v>
      </c>
    </row>
    <row r="575" spans="1:7" x14ac:dyDescent="0.3">
      <c r="A575" t="s">
        <v>83</v>
      </c>
      <c r="B575" t="s">
        <v>120</v>
      </c>
      <c r="C575" t="s">
        <v>22</v>
      </c>
      <c r="D575">
        <v>19</v>
      </c>
      <c r="E575">
        <v>26305</v>
      </c>
      <c r="F575">
        <v>10831</v>
      </c>
      <c r="G575" t="s">
        <v>10</v>
      </c>
    </row>
    <row r="576" spans="1:7" x14ac:dyDescent="0.3">
      <c r="A576" t="s">
        <v>150</v>
      </c>
      <c r="B576" t="s">
        <v>73</v>
      </c>
      <c r="C576" t="s">
        <v>13</v>
      </c>
      <c r="D576">
        <v>10</v>
      </c>
      <c r="E576">
        <v>7399</v>
      </c>
      <c r="F576">
        <v>17145</v>
      </c>
      <c r="G576" t="s">
        <v>10</v>
      </c>
    </row>
    <row r="577" spans="1:7" x14ac:dyDescent="0.3">
      <c r="A577" t="s">
        <v>43</v>
      </c>
      <c r="B577" t="s">
        <v>21</v>
      </c>
      <c r="C577" t="s">
        <v>9</v>
      </c>
      <c r="D577">
        <v>22</v>
      </c>
      <c r="E577">
        <v>24974</v>
      </c>
      <c r="F577">
        <v>12587</v>
      </c>
      <c r="G577" t="s">
        <v>10</v>
      </c>
    </row>
    <row r="578" spans="1:7" x14ac:dyDescent="0.3">
      <c r="A578" t="s">
        <v>154</v>
      </c>
      <c r="B578" t="s">
        <v>50</v>
      </c>
      <c r="C578" t="s">
        <v>13</v>
      </c>
      <c r="D578">
        <v>23</v>
      </c>
      <c r="E578">
        <v>11936</v>
      </c>
      <c r="F578">
        <v>20699</v>
      </c>
      <c r="G578" t="s">
        <v>26</v>
      </c>
    </row>
    <row r="579" spans="1:7" x14ac:dyDescent="0.3">
      <c r="A579" t="s">
        <v>62</v>
      </c>
      <c r="B579" t="s">
        <v>17</v>
      </c>
      <c r="C579" t="s">
        <v>9</v>
      </c>
      <c r="D579">
        <v>14</v>
      </c>
      <c r="E579">
        <v>24906</v>
      </c>
      <c r="F579">
        <v>10529</v>
      </c>
      <c r="G579" t="s">
        <v>26</v>
      </c>
    </row>
    <row r="580" spans="1:7" x14ac:dyDescent="0.3">
      <c r="A580" t="s">
        <v>167</v>
      </c>
      <c r="B580" t="s">
        <v>75</v>
      </c>
      <c r="C580" t="s">
        <v>22</v>
      </c>
      <c r="D580">
        <v>22</v>
      </c>
      <c r="E580">
        <v>6758</v>
      </c>
      <c r="F580">
        <v>19238</v>
      </c>
      <c r="G580" t="s">
        <v>10</v>
      </c>
    </row>
    <row r="581" spans="1:7" x14ac:dyDescent="0.3">
      <c r="A581" t="s">
        <v>58</v>
      </c>
      <c r="B581" t="s">
        <v>64</v>
      </c>
      <c r="C581" t="s">
        <v>9</v>
      </c>
      <c r="D581">
        <v>20</v>
      </c>
      <c r="E581">
        <v>25924</v>
      </c>
      <c r="F581">
        <v>19762</v>
      </c>
      <c r="G581" t="s">
        <v>10</v>
      </c>
    </row>
    <row r="582" spans="1:7" x14ac:dyDescent="0.3">
      <c r="A582" t="s">
        <v>99</v>
      </c>
      <c r="B582" t="s">
        <v>48</v>
      </c>
      <c r="C582" t="s">
        <v>22</v>
      </c>
      <c r="D582">
        <v>12</v>
      </c>
      <c r="E582">
        <v>20269</v>
      </c>
      <c r="F582">
        <v>14834</v>
      </c>
      <c r="G582" t="s">
        <v>26</v>
      </c>
    </row>
    <row r="583" spans="1:7" x14ac:dyDescent="0.3">
      <c r="A583" t="s">
        <v>144</v>
      </c>
      <c r="B583" t="s">
        <v>8</v>
      </c>
      <c r="C583" t="s">
        <v>22</v>
      </c>
      <c r="D583">
        <v>25</v>
      </c>
      <c r="E583">
        <v>29129</v>
      </c>
      <c r="F583">
        <v>21304</v>
      </c>
      <c r="G583" t="s">
        <v>10</v>
      </c>
    </row>
    <row r="584" spans="1:7" x14ac:dyDescent="0.3">
      <c r="A584" t="s">
        <v>159</v>
      </c>
      <c r="B584" t="s">
        <v>56</v>
      </c>
      <c r="C584" t="s">
        <v>13</v>
      </c>
      <c r="D584">
        <v>19</v>
      </c>
      <c r="E584">
        <v>28794</v>
      </c>
      <c r="F584">
        <v>18076</v>
      </c>
      <c r="G584" t="s">
        <v>26</v>
      </c>
    </row>
    <row r="585" spans="1:7" x14ac:dyDescent="0.3">
      <c r="A585" t="s">
        <v>195</v>
      </c>
      <c r="B585" t="s">
        <v>48</v>
      </c>
      <c r="C585" t="s">
        <v>9</v>
      </c>
      <c r="D585">
        <v>20</v>
      </c>
      <c r="E585">
        <v>23324</v>
      </c>
      <c r="F585">
        <v>23230</v>
      </c>
      <c r="G585" t="s">
        <v>26</v>
      </c>
    </row>
    <row r="586" spans="1:7" x14ac:dyDescent="0.3">
      <c r="A586" t="s">
        <v>173</v>
      </c>
      <c r="B586" t="s">
        <v>52</v>
      </c>
      <c r="C586" t="s">
        <v>22</v>
      </c>
      <c r="D586">
        <v>20</v>
      </c>
      <c r="E586">
        <v>11850</v>
      </c>
      <c r="F586">
        <v>23069</v>
      </c>
      <c r="G586" t="s">
        <v>10</v>
      </c>
    </row>
    <row r="587" spans="1:7" x14ac:dyDescent="0.3">
      <c r="A587" t="s">
        <v>39</v>
      </c>
      <c r="B587" t="s">
        <v>8</v>
      </c>
      <c r="C587" t="s">
        <v>9</v>
      </c>
      <c r="D587">
        <v>8</v>
      </c>
      <c r="E587">
        <v>14800</v>
      </c>
      <c r="F587">
        <v>15394</v>
      </c>
      <c r="G587" t="s">
        <v>10</v>
      </c>
    </row>
    <row r="588" spans="1:7" x14ac:dyDescent="0.3">
      <c r="A588" t="s">
        <v>43</v>
      </c>
      <c r="B588" t="s">
        <v>46</v>
      </c>
      <c r="C588" t="s">
        <v>9</v>
      </c>
      <c r="D588">
        <v>6</v>
      </c>
      <c r="E588">
        <v>18315</v>
      </c>
      <c r="F588">
        <v>17632</v>
      </c>
      <c r="G588" t="s">
        <v>26</v>
      </c>
    </row>
    <row r="589" spans="1:7" x14ac:dyDescent="0.3">
      <c r="A589" t="s">
        <v>63</v>
      </c>
      <c r="B589" t="s">
        <v>120</v>
      </c>
      <c r="C589" t="s">
        <v>22</v>
      </c>
      <c r="D589">
        <v>22</v>
      </c>
      <c r="E589">
        <v>9247</v>
      </c>
      <c r="F589">
        <v>11902</v>
      </c>
      <c r="G589" t="s">
        <v>10</v>
      </c>
    </row>
    <row r="590" spans="1:7" x14ac:dyDescent="0.3">
      <c r="A590" t="s">
        <v>125</v>
      </c>
      <c r="B590" t="s">
        <v>54</v>
      </c>
      <c r="C590" t="s">
        <v>9</v>
      </c>
      <c r="D590">
        <v>23</v>
      </c>
      <c r="E590">
        <v>25755</v>
      </c>
      <c r="F590">
        <v>12630</v>
      </c>
      <c r="G590" t="s">
        <v>10</v>
      </c>
    </row>
    <row r="591" spans="1:7" x14ac:dyDescent="0.3">
      <c r="A591" t="s">
        <v>215</v>
      </c>
      <c r="B591" t="s">
        <v>101</v>
      </c>
      <c r="C591" t="s">
        <v>22</v>
      </c>
      <c r="D591">
        <v>10</v>
      </c>
      <c r="E591">
        <v>24670</v>
      </c>
      <c r="F591">
        <v>22269</v>
      </c>
      <c r="G591" t="s">
        <v>10</v>
      </c>
    </row>
    <row r="592" spans="1:7" x14ac:dyDescent="0.3">
      <c r="A592" t="s">
        <v>141</v>
      </c>
      <c r="B592" t="s">
        <v>54</v>
      </c>
      <c r="C592" t="s">
        <v>22</v>
      </c>
      <c r="D592">
        <v>5</v>
      </c>
      <c r="E592">
        <v>25731</v>
      </c>
      <c r="F592">
        <v>16921</v>
      </c>
      <c r="G592" t="s">
        <v>10</v>
      </c>
    </row>
    <row r="593" spans="1:7" x14ac:dyDescent="0.3">
      <c r="A593" t="s">
        <v>70</v>
      </c>
      <c r="B593" t="s">
        <v>42</v>
      </c>
      <c r="C593" t="s">
        <v>22</v>
      </c>
      <c r="D593">
        <v>6</v>
      </c>
      <c r="E593">
        <v>13306</v>
      </c>
      <c r="F593">
        <v>13678</v>
      </c>
      <c r="G593" t="s">
        <v>10</v>
      </c>
    </row>
    <row r="594" spans="1:7" x14ac:dyDescent="0.3">
      <c r="A594" t="s">
        <v>215</v>
      </c>
      <c r="B594" t="s">
        <v>92</v>
      </c>
      <c r="C594" t="s">
        <v>13</v>
      </c>
      <c r="D594">
        <v>18</v>
      </c>
      <c r="E594">
        <v>20993</v>
      </c>
      <c r="F594">
        <v>12718</v>
      </c>
      <c r="G594" t="s">
        <v>10</v>
      </c>
    </row>
    <row r="595" spans="1:7" x14ac:dyDescent="0.3">
      <c r="A595" t="s">
        <v>192</v>
      </c>
      <c r="B595" t="s">
        <v>69</v>
      </c>
      <c r="C595" t="s">
        <v>9</v>
      </c>
      <c r="D595">
        <v>11</v>
      </c>
      <c r="E595">
        <v>18974</v>
      </c>
      <c r="F595">
        <v>17595</v>
      </c>
      <c r="G595" t="s">
        <v>10</v>
      </c>
    </row>
    <row r="596" spans="1:7" x14ac:dyDescent="0.3">
      <c r="A596" t="s">
        <v>90</v>
      </c>
      <c r="B596" t="s">
        <v>19</v>
      </c>
      <c r="C596" t="s">
        <v>13</v>
      </c>
      <c r="D596">
        <v>10</v>
      </c>
      <c r="E596">
        <v>20739</v>
      </c>
      <c r="F596">
        <v>10605</v>
      </c>
      <c r="G596" t="s">
        <v>10</v>
      </c>
    </row>
    <row r="597" spans="1:7" x14ac:dyDescent="0.3">
      <c r="A597" t="s">
        <v>143</v>
      </c>
      <c r="B597" t="s">
        <v>120</v>
      </c>
      <c r="C597" t="s">
        <v>13</v>
      </c>
      <c r="D597">
        <v>22</v>
      </c>
      <c r="E597">
        <v>21603</v>
      </c>
      <c r="F597">
        <v>14494</v>
      </c>
      <c r="G597" t="s">
        <v>10</v>
      </c>
    </row>
    <row r="598" spans="1:7" x14ac:dyDescent="0.3">
      <c r="A598" t="s">
        <v>214</v>
      </c>
      <c r="B598" t="s">
        <v>46</v>
      </c>
      <c r="C598" t="s">
        <v>13</v>
      </c>
      <c r="D598">
        <v>11</v>
      </c>
      <c r="E598">
        <v>20949</v>
      </c>
      <c r="F598">
        <v>13111</v>
      </c>
      <c r="G598" t="s">
        <v>10</v>
      </c>
    </row>
    <row r="599" spans="1:7" x14ac:dyDescent="0.3">
      <c r="A599" t="s">
        <v>138</v>
      </c>
      <c r="B599" t="s">
        <v>54</v>
      </c>
      <c r="C599" t="s">
        <v>22</v>
      </c>
      <c r="D599">
        <v>10</v>
      </c>
      <c r="E599">
        <v>5886</v>
      </c>
      <c r="F599">
        <v>21289</v>
      </c>
      <c r="G599" t="s">
        <v>26</v>
      </c>
    </row>
    <row r="600" spans="1:7" x14ac:dyDescent="0.3">
      <c r="A600" t="s">
        <v>81</v>
      </c>
      <c r="B600" t="s">
        <v>8</v>
      </c>
      <c r="C600" t="s">
        <v>9</v>
      </c>
      <c r="D600">
        <v>7</v>
      </c>
      <c r="E600">
        <v>22505</v>
      </c>
      <c r="F600">
        <v>21687</v>
      </c>
      <c r="G600" t="s">
        <v>10</v>
      </c>
    </row>
    <row r="601" spans="1:7" x14ac:dyDescent="0.3">
      <c r="A601" t="s">
        <v>147</v>
      </c>
      <c r="B601" t="s">
        <v>92</v>
      </c>
      <c r="C601" t="s">
        <v>13</v>
      </c>
      <c r="D601">
        <v>8</v>
      </c>
      <c r="E601">
        <v>7358</v>
      </c>
      <c r="F601">
        <v>23438</v>
      </c>
      <c r="G601" t="s">
        <v>10</v>
      </c>
    </row>
    <row r="602" spans="1:7" x14ac:dyDescent="0.3">
      <c r="A602" t="s">
        <v>166</v>
      </c>
      <c r="B602" t="s">
        <v>31</v>
      </c>
      <c r="C602" t="s">
        <v>22</v>
      </c>
      <c r="D602">
        <v>24</v>
      </c>
      <c r="E602">
        <v>18223</v>
      </c>
      <c r="F602">
        <v>19255</v>
      </c>
      <c r="G602" t="s">
        <v>10</v>
      </c>
    </row>
    <row r="603" spans="1:7" x14ac:dyDescent="0.3">
      <c r="A603" t="s">
        <v>168</v>
      </c>
      <c r="B603" t="s">
        <v>31</v>
      </c>
      <c r="C603" t="s">
        <v>22</v>
      </c>
      <c r="D603">
        <v>15</v>
      </c>
      <c r="E603">
        <v>28848</v>
      </c>
      <c r="F603">
        <v>23935</v>
      </c>
      <c r="G603" t="s">
        <v>10</v>
      </c>
    </row>
    <row r="604" spans="1:7" x14ac:dyDescent="0.3">
      <c r="A604" t="s">
        <v>45</v>
      </c>
      <c r="B604" t="s">
        <v>40</v>
      </c>
      <c r="C604" t="s">
        <v>22</v>
      </c>
      <c r="D604">
        <v>23</v>
      </c>
      <c r="E604">
        <v>8553</v>
      </c>
      <c r="F604">
        <v>12729</v>
      </c>
      <c r="G604" t="s">
        <v>10</v>
      </c>
    </row>
    <row r="605" spans="1:7" x14ac:dyDescent="0.3">
      <c r="A605" t="s">
        <v>152</v>
      </c>
      <c r="B605" t="s">
        <v>42</v>
      </c>
      <c r="C605" t="s">
        <v>13</v>
      </c>
      <c r="D605">
        <v>24</v>
      </c>
      <c r="E605">
        <v>14575</v>
      </c>
      <c r="F605">
        <v>21851</v>
      </c>
      <c r="G605" t="s">
        <v>10</v>
      </c>
    </row>
    <row r="606" spans="1:7" x14ac:dyDescent="0.3">
      <c r="A606" t="s">
        <v>121</v>
      </c>
      <c r="B606" t="s">
        <v>17</v>
      </c>
      <c r="C606" t="s">
        <v>13</v>
      </c>
      <c r="D606">
        <v>5</v>
      </c>
      <c r="E606">
        <v>16078</v>
      </c>
      <c r="F606">
        <v>12469</v>
      </c>
      <c r="G606" t="s">
        <v>10</v>
      </c>
    </row>
    <row r="607" spans="1:7" x14ac:dyDescent="0.3">
      <c r="A607" t="s">
        <v>153</v>
      </c>
      <c r="B607" t="s">
        <v>19</v>
      </c>
      <c r="C607" t="s">
        <v>9</v>
      </c>
      <c r="D607">
        <v>24</v>
      </c>
      <c r="E607">
        <v>6965</v>
      </c>
      <c r="F607">
        <v>19396</v>
      </c>
      <c r="G607" t="s">
        <v>10</v>
      </c>
    </row>
    <row r="608" spans="1:7" x14ac:dyDescent="0.3">
      <c r="A608" t="s">
        <v>20</v>
      </c>
      <c r="B608" t="s">
        <v>52</v>
      </c>
      <c r="C608" t="s">
        <v>13</v>
      </c>
      <c r="D608">
        <v>24</v>
      </c>
      <c r="E608">
        <v>24223</v>
      </c>
      <c r="F608">
        <v>18601</v>
      </c>
      <c r="G608" t="s">
        <v>26</v>
      </c>
    </row>
    <row r="609" spans="1:7" x14ac:dyDescent="0.3">
      <c r="A609" t="s">
        <v>99</v>
      </c>
      <c r="B609" t="s">
        <v>25</v>
      </c>
      <c r="C609" t="s">
        <v>22</v>
      </c>
      <c r="D609">
        <v>22</v>
      </c>
      <c r="E609">
        <v>17430</v>
      </c>
      <c r="F609">
        <v>20832</v>
      </c>
      <c r="G609" t="s">
        <v>10</v>
      </c>
    </row>
    <row r="610" spans="1:7" x14ac:dyDescent="0.3">
      <c r="A610" t="s">
        <v>145</v>
      </c>
      <c r="B610" t="s">
        <v>101</v>
      </c>
      <c r="C610" t="s">
        <v>13</v>
      </c>
      <c r="D610">
        <v>19</v>
      </c>
      <c r="E610">
        <v>12150</v>
      </c>
      <c r="F610">
        <v>20030</v>
      </c>
      <c r="G610" t="s">
        <v>26</v>
      </c>
    </row>
    <row r="611" spans="1:7" x14ac:dyDescent="0.3">
      <c r="A611" t="s">
        <v>216</v>
      </c>
      <c r="B611" t="s">
        <v>40</v>
      </c>
      <c r="C611" t="s">
        <v>9</v>
      </c>
      <c r="D611">
        <v>6</v>
      </c>
      <c r="E611">
        <v>6855</v>
      </c>
      <c r="F611">
        <v>15643</v>
      </c>
      <c r="G611" t="s">
        <v>10</v>
      </c>
    </row>
    <row r="612" spans="1:7" x14ac:dyDescent="0.3">
      <c r="A612" t="s">
        <v>103</v>
      </c>
      <c r="B612" t="s">
        <v>73</v>
      </c>
      <c r="C612" t="s">
        <v>22</v>
      </c>
      <c r="D612">
        <v>16</v>
      </c>
      <c r="E612">
        <v>14791</v>
      </c>
      <c r="F612">
        <v>16901</v>
      </c>
      <c r="G612" t="s">
        <v>10</v>
      </c>
    </row>
    <row r="613" spans="1:7" x14ac:dyDescent="0.3">
      <c r="A613" t="s">
        <v>178</v>
      </c>
      <c r="B613" t="s">
        <v>31</v>
      </c>
      <c r="C613" t="s">
        <v>22</v>
      </c>
      <c r="D613">
        <v>12</v>
      </c>
      <c r="E613">
        <v>8845</v>
      </c>
      <c r="F613">
        <v>19185</v>
      </c>
      <c r="G613" t="s">
        <v>10</v>
      </c>
    </row>
    <row r="614" spans="1:7" x14ac:dyDescent="0.3">
      <c r="A614" t="s">
        <v>20</v>
      </c>
      <c r="B614" t="s">
        <v>21</v>
      </c>
      <c r="C614" t="s">
        <v>22</v>
      </c>
      <c r="D614">
        <v>7</v>
      </c>
      <c r="E614">
        <v>22213</v>
      </c>
      <c r="F614">
        <v>15071</v>
      </c>
      <c r="G614" t="s">
        <v>10</v>
      </c>
    </row>
    <row r="615" spans="1:7" x14ac:dyDescent="0.3">
      <c r="A615" t="s">
        <v>187</v>
      </c>
      <c r="B615" t="s">
        <v>75</v>
      </c>
      <c r="C615" t="s">
        <v>22</v>
      </c>
      <c r="D615">
        <v>19</v>
      </c>
      <c r="E615">
        <v>18230</v>
      </c>
      <c r="F615">
        <v>18993</v>
      </c>
      <c r="G615" t="s">
        <v>10</v>
      </c>
    </row>
    <row r="616" spans="1:7" x14ac:dyDescent="0.3">
      <c r="A616" t="s">
        <v>157</v>
      </c>
      <c r="B616" t="s">
        <v>120</v>
      </c>
      <c r="C616" t="s">
        <v>13</v>
      </c>
      <c r="D616">
        <v>20</v>
      </c>
      <c r="E616">
        <v>6534</v>
      </c>
      <c r="F616">
        <v>20107</v>
      </c>
      <c r="G616" t="s">
        <v>10</v>
      </c>
    </row>
    <row r="617" spans="1:7" x14ac:dyDescent="0.3">
      <c r="A617" t="s">
        <v>57</v>
      </c>
      <c r="B617" t="s">
        <v>46</v>
      </c>
      <c r="C617" t="s">
        <v>9</v>
      </c>
      <c r="D617">
        <v>24</v>
      </c>
      <c r="E617">
        <v>5168</v>
      </c>
      <c r="F617">
        <v>21213</v>
      </c>
      <c r="G617" t="s">
        <v>10</v>
      </c>
    </row>
    <row r="618" spans="1:7" x14ac:dyDescent="0.3">
      <c r="A618" t="s">
        <v>136</v>
      </c>
      <c r="B618" t="s">
        <v>75</v>
      </c>
      <c r="C618" t="s">
        <v>9</v>
      </c>
      <c r="D618">
        <v>9</v>
      </c>
      <c r="E618">
        <v>18710</v>
      </c>
      <c r="F618">
        <v>24157</v>
      </c>
      <c r="G618" t="s">
        <v>10</v>
      </c>
    </row>
    <row r="619" spans="1:7" x14ac:dyDescent="0.3">
      <c r="A619" t="s">
        <v>126</v>
      </c>
      <c r="B619" t="s">
        <v>54</v>
      </c>
      <c r="C619" t="s">
        <v>13</v>
      </c>
      <c r="D619">
        <v>9</v>
      </c>
      <c r="E619">
        <v>29571</v>
      </c>
      <c r="F619">
        <v>22867</v>
      </c>
      <c r="G619" t="s">
        <v>10</v>
      </c>
    </row>
    <row r="620" spans="1:7" x14ac:dyDescent="0.3">
      <c r="A620" t="s">
        <v>125</v>
      </c>
      <c r="B620" t="s">
        <v>15</v>
      </c>
      <c r="C620" t="s">
        <v>13</v>
      </c>
      <c r="D620">
        <v>11</v>
      </c>
      <c r="E620">
        <v>10237</v>
      </c>
      <c r="F620">
        <v>16488</v>
      </c>
      <c r="G620" t="s">
        <v>10</v>
      </c>
    </row>
    <row r="621" spans="1:7" x14ac:dyDescent="0.3">
      <c r="A621" t="s">
        <v>76</v>
      </c>
      <c r="B621" t="s">
        <v>69</v>
      </c>
      <c r="C621" t="s">
        <v>22</v>
      </c>
      <c r="D621">
        <v>24</v>
      </c>
      <c r="E621">
        <v>16840</v>
      </c>
      <c r="F621">
        <v>22993</v>
      </c>
      <c r="G621" t="s">
        <v>10</v>
      </c>
    </row>
    <row r="622" spans="1:7" x14ac:dyDescent="0.3">
      <c r="A622" t="s">
        <v>53</v>
      </c>
      <c r="B622" t="s">
        <v>31</v>
      </c>
      <c r="C622" t="s">
        <v>9</v>
      </c>
      <c r="D622">
        <v>19</v>
      </c>
      <c r="E622">
        <v>26191</v>
      </c>
      <c r="F622">
        <v>16686</v>
      </c>
      <c r="G622" t="s">
        <v>10</v>
      </c>
    </row>
    <row r="623" spans="1:7" x14ac:dyDescent="0.3">
      <c r="A623" t="s">
        <v>150</v>
      </c>
      <c r="B623" t="s">
        <v>19</v>
      </c>
      <c r="C623" t="s">
        <v>13</v>
      </c>
      <c r="D623">
        <v>14</v>
      </c>
      <c r="E623">
        <v>17912</v>
      </c>
      <c r="F623">
        <v>14800</v>
      </c>
      <c r="G623" t="s">
        <v>10</v>
      </c>
    </row>
    <row r="624" spans="1:7" x14ac:dyDescent="0.3">
      <c r="A624" t="s">
        <v>86</v>
      </c>
      <c r="B624" t="s">
        <v>25</v>
      </c>
      <c r="C624" t="s">
        <v>9</v>
      </c>
      <c r="D624">
        <v>14</v>
      </c>
      <c r="E624">
        <v>22234</v>
      </c>
      <c r="F624">
        <v>19812</v>
      </c>
      <c r="G624" t="s">
        <v>26</v>
      </c>
    </row>
    <row r="625" spans="1:7" x14ac:dyDescent="0.3">
      <c r="A625" t="s">
        <v>20</v>
      </c>
      <c r="B625" t="s">
        <v>75</v>
      </c>
      <c r="C625" t="s">
        <v>13</v>
      </c>
      <c r="D625">
        <v>16</v>
      </c>
      <c r="E625">
        <v>14848</v>
      </c>
      <c r="F625">
        <v>16582</v>
      </c>
      <c r="G625" t="s">
        <v>10</v>
      </c>
    </row>
    <row r="626" spans="1:7" x14ac:dyDescent="0.3">
      <c r="A626" t="s">
        <v>190</v>
      </c>
      <c r="B626" t="s">
        <v>50</v>
      </c>
      <c r="C626" t="s">
        <v>22</v>
      </c>
      <c r="D626">
        <v>14</v>
      </c>
      <c r="E626">
        <v>13398</v>
      </c>
      <c r="F626">
        <v>10377</v>
      </c>
      <c r="G626" t="s">
        <v>10</v>
      </c>
    </row>
    <row r="627" spans="1:7" x14ac:dyDescent="0.3">
      <c r="A627" t="s">
        <v>158</v>
      </c>
      <c r="B627" t="s">
        <v>75</v>
      </c>
      <c r="C627" t="s">
        <v>22</v>
      </c>
      <c r="D627">
        <v>5</v>
      </c>
      <c r="E627">
        <v>20968</v>
      </c>
      <c r="F627">
        <v>15715</v>
      </c>
      <c r="G627" t="s">
        <v>10</v>
      </c>
    </row>
    <row r="628" spans="1:7" x14ac:dyDescent="0.3">
      <c r="A628" t="s">
        <v>111</v>
      </c>
      <c r="B628" t="s">
        <v>42</v>
      </c>
      <c r="C628" t="s">
        <v>22</v>
      </c>
      <c r="D628">
        <v>17</v>
      </c>
      <c r="E628">
        <v>20619</v>
      </c>
      <c r="F628">
        <v>23821</v>
      </c>
      <c r="G628" t="s">
        <v>26</v>
      </c>
    </row>
    <row r="629" spans="1:7" x14ac:dyDescent="0.3">
      <c r="A629" t="s">
        <v>85</v>
      </c>
      <c r="B629" t="s">
        <v>46</v>
      </c>
      <c r="C629" t="s">
        <v>22</v>
      </c>
      <c r="D629">
        <v>18</v>
      </c>
      <c r="E629">
        <v>29007</v>
      </c>
      <c r="F629">
        <v>10923</v>
      </c>
      <c r="G629" t="s">
        <v>10</v>
      </c>
    </row>
    <row r="630" spans="1:7" x14ac:dyDescent="0.3">
      <c r="A630" t="s">
        <v>170</v>
      </c>
      <c r="B630" t="s">
        <v>25</v>
      </c>
      <c r="C630" t="s">
        <v>22</v>
      </c>
      <c r="D630">
        <v>20</v>
      </c>
      <c r="E630">
        <v>14997</v>
      </c>
      <c r="F630">
        <v>24892</v>
      </c>
      <c r="G630" t="s">
        <v>26</v>
      </c>
    </row>
    <row r="631" spans="1:7" x14ac:dyDescent="0.3">
      <c r="A631" t="s">
        <v>60</v>
      </c>
      <c r="B631" t="s">
        <v>17</v>
      </c>
      <c r="C631" t="s">
        <v>22</v>
      </c>
      <c r="D631">
        <v>13</v>
      </c>
      <c r="E631">
        <v>23167</v>
      </c>
      <c r="F631">
        <v>21351</v>
      </c>
      <c r="G631" t="s">
        <v>10</v>
      </c>
    </row>
    <row r="632" spans="1:7" x14ac:dyDescent="0.3">
      <c r="A632" t="s">
        <v>28</v>
      </c>
      <c r="B632" t="s">
        <v>56</v>
      </c>
      <c r="C632" t="s">
        <v>22</v>
      </c>
      <c r="D632">
        <v>7</v>
      </c>
      <c r="E632">
        <v>22611</v>
      </c>
      <c r="F632">
        <v>16745</v>
      </c>
      <c r="G632" t="s">
        <v>10</v>
      </c>
    </row>
    <row r="633" spans="1:7" x14ac:dyDescent="0.3">
      <c r="A633" t="s">
        <v>179</v>
      </c>
      <c r="B633" t="s">
        <v>52</v>
      </c>
      <c r="C633" t="s">
        <v>13</v>
      </c>
      <c r="D633">
        <v>10</v>
      </c>
      <c r="E633">
        <v>27804</v>
      </c>
      <c r="F633">
        <v>10852</v>
      </c>
      <c r="G633" t="s">
        <v>10</v>
      </c>
    </row>
    <row r="634" spans="1:7" x14ac:dyDescent="0.3">
      <c r="A634" t="s">
        <v>148</v>
      </c>
      <c r="B634" t="s">
        <v>31</v>
      </c>
      <c r="C634" t="s">
        <v>9</v>
      </c>
      <c r="D634">
        <v>20</v>
      </c>
      <c r="E634">
        <v>9919</v>
      </c>
      <c r="F634">
        <v>11119</v>
      </c>
      <c r="G634" t="s">
        <v>10</v>
      </c>
    </row>
    <row r="635" spans="1:7" x14ac:dyDescent="0.3">
      <c r="A635" t="s">
        <v>43</v>
      </c>
      <c r="B635" t="s">
        <v>120</v>
      </c>
      <c r="C635" t="s">
        <v>22</v>
      </c>
      <c r="D635">
        <v>19</v>
      </c>
      <c r="E635">
        <v>5192</v>
      </c>
      <c r="F635">
        <v>20008</v>
      </c>
      <c r="G635" t="s">
        <v>10</v>
      </c>
    </row>
    <row r="636" spans="1:7" x14ac:dyDescent="0.3">
      <c r="A636" t="s">
        <v>94</v>
      </c>
      <c r="B636" t="s">
        <v>92</v>
      </c>
      <c r="C636" t="s">
        <v>22</v>
      </c>
      <c r="D636">
        <v>5</v>
      </c>
      <c r="E636">
        <v>10440</v>
      </c>
      <c r="F636">
        <v>18416</v>
      </c>
      <c r="G636" t="s">
        <v>10</v>
      </c>
    </row>
    <row r="637" spans="1:7" x14ac:dyDescent="0.3">
      <c r="A637" t="s">
        <v>216</v>
      </c>
      <c r="B637" t="s">
        <v>17</v>
      </c>
      <c r="C637" t="s">
        <v>13</v>
      </c>
      <c r="D637">
        <v>7</v>
      </c>
      <c r="E637">
        <v>10863</v>
      </c>
      <c r="F637">
        <v>14155</v>
      </c>
      <c r="G637" t="s">
        <v>10</v>
      </c>
    </row>
    <row r="638" spans="1:7" x14ac:dyDescent="0.3">
      <c r="A638" t="s">
        <v>14</v>
      </c>
      <c r="B638" t="s">
        <v>19</v>
      </c>
      <c r="C638" t="s">
        <v>13</v>
      </c>
      <c r="D638">
        <v>13</v>
      </c>
      <c r="E638">
        <v>26866</v>
      </c>
      <c r="F638">
        <v>18005</v>
      </c>
      <c r="G638" t="s">
        <v>10</v>
      </c>
    </row>
    <row r="639" spans="1:7" x14ac:dyDescent="0.3">
      <c r="A639" t="s">
        <v>211</v>
      </c>
      <c r="B639" t="s">
        <v>52</v>
      </c>
      <c r="C639" t="s">
        <v>22</v>
      </c>
      <c r="D639">
        <v>14</v>
      </c>
      <c r="E639">
        <v>19311</v>
      </c>
      <c r="F639">
        <v>23519</v>
      </c>
      <c r="G639" t="s">
        <v>10</v>
      </c>
    </row>
    <row r="640" spans="1:7" x14ac:dyDescent="0.3">
      <c r="A640" t="s">
        <v>214</v>
      </c>
      <c r="B640" t="s">
        <v>21</v>
      </c>
      <c r="C640" t="s">
        <v>9</v>
      </c>
      <c r="D640">
        <v>6</v>
      </c>
      <c r="E640">
        <v>8826</v>
      </c>
      <c r="F640">
        <v>12112</v>
      </c>
      <c r="G640" t="s">
        <v>10</v>
      </c>
    </row>
    <row r="641" spans="1:7" x14ac:dyDescent="0.3">
      <c r="A641" t="s">
        <v>121</v>
      </c>
      <c r="B641" t="s">
        <v>101</v>
      </c>
      <c r="C641" t="s">
        <v>9</v>
      </c>
      <c r="D641">
        <v>9</v>
      </c>
      <c r="E641">
        <v>17964</v>
      </c>
      <c r="F641">
        <v>15447</v>
      </c>
      <c r="G641" t="s">
        <v>10</v>
      </c>
    </row>
    <row r="642" spans="1:7" x14ac:dyDescent="0.3">
      <c r="A642" t="s">
        <v>156</v>
      </c>
      <c r="B642" t="s">
        <v>31</v>
      </c>
      <c r="C642" t="s">
        <v>13</v>
      </c>
      <c r="D642">
        <v>16</v>
      </c>
      <c r="E642">
        <v>25240</v>
      </c>
      <c r="F642">
        <v>12436</v>
      </c>
      <c r="G642" t="s">
        <v>10</v>
      </c>
    </row>
    <row r="643" spans="1:7" x14ac:dyDescent="0.3">
      <c r="A643" t="s">
        <v>129</v>
      </c>
      <c r="B643" t="s">
        <v>17</v>
      </c>
      <c r="C643" t="s">
        <v>22</v>
      </c>
      <c r="D643">
        <v>23</v>
      </c>
      <c r="E643">
        <v>5888</v>
      </c>
      <c r="F643">
        <v>21003</v>
      </c>
      <c r="G643" t="s">
        <v>10</v>
      </c>
    </row>
    <row r="644" spans="1:7" x14ac:dyDescent="0.3">
      <c r="A644" t="s">
        <v>206</v>
      </c>
      <c r="B644" t="s">
        <v>67</v>
      </c>
      <c r="C644" t="s">
        <v>22</v>
      </c>
      <c r="D644">
        <v>7</v>
      </c>
      <c r="E644">
        <v>14959</v>
      </c>
      <c r="F644">
        <v>16697</v>
      </c>
      <c r="G644" t="s">
        <v>10</v>
      </c>
    </row>
    <row r="645" spans="1:7" x14ac:dyDescent="0.3">
      <c r="A645" t="s">
        <v>82</v>
      </c>
      <c r="B645" t="s">
        <v>31</v>
      </c>
      <c r="C645" t="s">
        <v>13</v>
      </c>
      <c r="D645">
        <v>13</v>
      </c>
      <c r="E645">
        <v>5060</v>
      </c>
      <c r="F645">
        <v>15000</v>
      </c>
      <c r="G645" t="s">
        <v>10</v>
      </c>
    </row>
    <row r="646" spans="1:7" x14ac:dyDescent="0.3">
      <c r="A646" t="s">
        <v>63</v>
      </c>
      <c r="B646" t="s">
        <v>75</v>
      </c>
      <c r="C646" t="s">
        <v>13</v>
      </c>
      <c r="D646">
        <v>8</v>
      </c>
      <c r="E646">
        <v>5447</v>
      </c>
      <c r="F646">
        <v>14265</v>
      </c>
      <c r="G646" t="s">
        <v>10</v>
      </c>
    </row>
    <row r="647" spans="1:7" x14ac:dyDescent="0.3">
      <c r="A647" t="s">
        <v>32</v>
      </c>
      <c r="B647" t="s">
        <v>64</v>
      </c>
      <c r="C647" t="s">
        <v>22</v>
      </c>
      <c r="D647">
        <v>19</v>
      </c>
      <c r="E647">
        <v>15541</v>
      </c>
      <c r="F647">
        <v>22322</v>
      </c>
      <c r="G647" t="s">
        <v>10</v>
      </c>
    </row>
    <row r="648" spans="1:7" x14ac:dyDescent="0.3">
      <c r="A648" t="s">
        <v>11</v>
      </c>
      <c r="B648" t="s">
        <v>67</v>
      </c>
      <c r="C648" t="s">
        <v>13</v>
      </c>
      <c r="D648">
        <v>19</v>
      </c>
      <c r="E648">
        <v>26043</v>
      </c>
      <c r="F648">
        <v>22195</v>
      </c>
      <c r="G648" t="s">
        <v>10</v>
      </c>
    </row>
    <row r="649" spans="1:7" x14ac:dyDescent="0.3">
      <c r="A649" t="s">
        <v>125</v>
      </c>
      <c r="B649" t="s">
        <v>19</v>
      </c>
      <c r="C649" t="s">
        <v>13</v>
      </c>
      <c r="D649">
        <v>8</v>
      </c>
      <c r="E649">
        <v>22024</v>
      </c>
      <c r="F649">
        <v>16278</v>
      </c>
      <c r="G649" t="s">
        <v>10</v>
      </c>
    </row>
    <row r="650" spans="1:7" x14ac:dyDescent="0.3">
      <c r="A650" t="s">
        <v>30</v>
      </c>
      <c r="B650" t="s">
        <v>25</v>
      </c>
      <c r="C650" t="s">
        <v>13</v>
      </c>
      <c r="D650">
        <v>24</v>
      </c>
      <c r="E650">
        <v>10229</v>
      </c>
      <c r="F650">
        <v>22264</v>
      </c>
      <c r="G650" t="s">
        <v>10</v>
      </c>
    </row>
    <row r="651" spans="1:7" x14ac:dyDescent="0.3">
      <c r="A651" t="s">
        <v>24</v>
      </c>
      <c r="B651" t="s">
        <v>31</v>
      </c>
      <c r="C651" t="s">
        <v>22</v>
      </c>
      <c r="D651">
        <v>24</v>
      </c>
      <c r="E651">
        <v>14736</v>
      </c>
      <c r="F651">
        <v>10251</v>
      </c>
      <c r="G651" t="s">
        <v>10</v>
      </c>
    </row>
    <row r="652" spans="1:7" x14ac:dyDescent="0.3">
      <c r="A652" t="s">
        <v>44</v>
      </c>
      <c r="B652" t="s">
        <v>37</v>
      </c>
      <c r="C652" t="s">
        <v>13</v>
      </c>
      <c r="D652">
        <v>23</v>
      </c>
      <c r="E652">
        <v>28582</v>
      </c>
      <c r="F652">
        <v>14004</v>
      </c>
      <c r="G652" t="s">
        <v>10</v>
      </c>
    </row>
    <row r="653" spans="1:7" x14ac:dyDescent="0.3">
      <c r="A653" t="s">
        <v>203</v>
      </c>
      <c r="B653" t="s">
        <v>33</v>
      </c>
      <c r="C653" t="s">
        <v>9</v>
      </c>
      <c r="D653">
        <v>20</v>
      </c>
      <c r="E653">
        <v>11363</v>
      </c>
      <c r="F653">
        <v>15672</v>
      </c>
      <c r="G653" t="s">
        <v>10</v>
      </c>
    </row>
    <row r="654" spans="1:7" x14ac:dyDescent="0.3">
      <c r="A654" t="s">
        <v>38</v>
      </c>
      <c r="B654" t="s">
        <v>56</v>
      </c>
      <c r="C654" t="s">
        <v>22</v>
      </c>
      <c r="D654">
        <v>25</v>
      </c>
      <c r="E654">
        <v>23333</v>
      </c>
      <c r="F654">
        <v>15623</v>
      </c>
      <c r="G654" t="s">
        <v>10</v>
      </c>
    </row>
    <row r="655" spans="1:7" x14ac:dyDescent="0.3">
      <c r="A655" t="s">
        <v>214</v>
      </c>
      <c r="B655" t="s">
        <v>19</v>
      </c>
      <c r="C655" t="s">
        <v>13</v>
      </c>
      <c r="D655">
        <v>16</v>
      </c>
      <c r="E655">
        <v>17130</v>
      </c>
      <c r="F655">
        <v>22410</v>
      </c>
      <c r="G655" t="s">
        <v>10</v>
      </c>
    </row>
    <row r="656" spans="1:7" x14ac:dyDescent="0.3">
      <c r="A656" t="s">
        <v>156</v>
      </c>
      <c r="B656" t="s">
        <v>75</v>
      </c>
      <c r="C656" t="s">
        <v>22</v>
      </c>
      <c r="D656">
        <v>14</v>
      </c>
      <c r="E656">
        <v>24621</v>
      </c>
      <c r="F656">
        <v>20720</v>
      </c>
      <c r="G656" t="s">
        <v>10</v>
      </c>
    </row>
    <row r="657" spans="1:7" x14ac:dyDescent="0.3">
      <c r="A657" t="s">
        <v>203</v>
      </c>
      <c r="B657" t="s">
        <v>54</v>
      </c>
      <c r="C657" t="s">
        <v>13</v>
      </c>
      <c r="D657">
        <v>25</v>
      </c>
      <c r="E657">
        <v>14390</v>
      </c>
      <c r="F657">
        <v>20103</v>
      </c>
      <c r="G657" t="s">
        <v>10</v>
      </c>
    </row>
    <row r="658" spans="1:7" x14ac:dyDescent="0.3">
      <c r="A658" t="s">
        <v>45</v>
      </c>
      <c r="B658" t="s">
        <v>120</v>
      </c>
      <c r="C658" t="s">
        <v>9</v>
      </c>
      <c r="D658">
        <v>19</v>
      </c>
      <c r="E658">
        <v>18002</v>
      </c>
      <c r="F658">
        <v>15669</v>
      </c>
      <c r="G658" t="s">
        <v>10</v>
      </c>
    </row>
    <row r="659" spans="1:7" x14ac:dyDescent="0.3">
      <c r="A659" t="s">
        <v>184</v>
      </c>
      <c r="B659" t="s">
        <v>52</v>
      </c>
      <c r="C659" t="s">
        <v>9</v>
      </c>
      <c r="D659">
        <v>13</v>
      </c>
      <c r="E659">
        <v>6528</v>
      </c>
      <c r="F659">
        <v>23008</v>
      </c>
      <c r="G659" t="s">
        <v>10</v>
      </c>
    </row>
    <row r="660" spans="1:7" x14ac:dyDescent="0.3">
      <c r="A660" t="s">
        <v>112</v>
      </c>
      <c r="B660" t="s">
        <v>101</v>
      </c>
      <c r="C660" t="s">
        <v>9</v>
      </c>
      <c r="D660">
        <v>25</v>
      </c>
      <c r="E660">
        <v>9892</v>
      </c>
      <c r="F660">
        <v>18377</v>
      </c>
      <c r="G660" t="s">
        <v>10</v>
      </c>
    </row>
    <row r="661" spans="1:7" x14ac:dyDescent="0.3">
      <c r="A661" t="s">
        <v>116</v>
      </c>
      <c r="B661" t="s">
        <v>31</v>
      </c>
      <c r="C661" t="s">
        <v>13</v>
      </c>
      <c r="D661">
        <v>24</v>
      </c>
      <c r="E661">
        <v>26321</v>
      </c>
      <c r="F661">
        <v>23401</v>
      </c>
      <c r="G661" t="s">
        <v>10</v>
      </c>
    </row>
    <row r="662" spans="1:7" x14ac:dyDescent="0.3">
      <c r="A662" t="s">
        <v>32</v>
      </c>
      <c r="B662" t="s">
        <v>79</v>
      </c>
      <c r="C662" t="s">
        <v>9</v>
      </c>
      <c r="D662">
        <v>6</v>
      </c>
      <c r="E662">
        <v>14986</v>
      </c>
      <c r="F662">
        <v>15364</v>
      </c>
      <c r="G662" t="s">
        <v>10</v>
      </c>
    </row>
    <row r="663" spans="1:7" x14ac:dyDescent="0.3">
      <c r="A663" t="s">
        <v>49</v>
      </c>
      <c r="B663" t="s">
        <v>79</v>
      </c>
      <c r="C663" t="s">
        <v>9</v>
      </c>
      <c r="D663">
        <v>21</v>
      </c>
      <c r="E663">
        <v>13618</v>
      </c>
      <c r="F663">
        <v>24558</v>
      </c>
      <c r="G663" t="s">
        <v>10</v>
      </c>
    </row>
    <row r="664" spans="1:7" x14ac:dyDescent="0.3">
      <c r="A664" t="s">
        <v>51</v>
      </c>
      <c r="B664" t="s">
        <v>73</v>
      </c>
      <c r="C664" t="s">
        <v>9</v>
      </c>
      <c r="D664">
        <v>20</v>
      </c>
      <c r="E664">
        <v>6529</v>
      </c>
      <c r="F664">
        <v>10659</v>
      </c>
      <c r="G664" t="s">
        <v>10</v>
      </c>
    </row>
    <row r="665" spans="1:7" x14ac:dyDescent="0.3">
      <c r="A665" t="s">
        <v>78</v>
      </c>
      <c r="B665" t="s">
        <v>73</v>
      </c>
      <c r="C665" t="s">
        <v>22</v>
      </c>
      <c r="D665">
        <v>23</v>
      </c>
      <c r="E665">
        <v>26848</v>
      </c>
      <c r="F665">
        <v>20481</v>
      </c>
      <c r="G665" t="s">
        <v>10</v>
      </c>
    </row>
    <row r="666" spans="1:7" x14ac:dyDescent="0.3">
      <c r="A666" t="s">
        <v>128</v>
      </c>
      <c r="B666" t="s">
        <v>8</v>
      </c>
      <c r="C666" t="s">
        <v>9</v>
      </c>
      <c r="D666">
        <v>16</v>
      </c>
      <c r="E666">
        <v>8593</v>
      </c>
      <c r="F666">
        <v>24827</v>
      </c>
      <c r="G666" t="s">
        <v>26</v>
      </c>
    </row>
    <row r="667" spans="1:7" x14ac:dyDescent="0.3">
      <c r="A667" t="s">
        <v>98</v>
      </c>
      <c r="B667" t="s">
        <v>12</v>
      </c>
      <c r="C667" t="s">
        <v>22</v>
      </c>
      <c r="D667">
        <v>17</v>
      </c>
      <c r="E667">
        <v>9550</v>
      </c>
      <c r="F667">
        <v>10838</v>
      </c>
      <c r="G667" t="s">
        <v>10</v>
      </c>
    </row>
    <row r="668" spans="1:7" x14ac:dyDescent="0.3">
      <c r="A668" t="s">
        <v>126</v>
      </c>
      <c r="B668" t="s">
        <v>64</v>
      </c>
      <c r="C668" t="s">
        <v>22</v>
      </c>
      <c r="D668">
        <v>13</v>
      </c>
      <c r="E668">
        <v>15395</v>
      </c>
      <c r="F668">
        <v>15718</v>
      </c>
      <c r="G668" t="s">
        <v>10</v>
      </c>
    </row>
    <row r="669" spans="1:7" x14ac:dyDescent="0.3">
      <c r="A669" t="s">
        <v>206</v>
      </c>
      <c r="B669" t="s">
        <v>120</v>
      </c>
      <c r="C669" t="s">
        <v>22</v>
      </c>
      <c r="D669">
        <v>18</v>
      </c>
      <c r="E669">
        <v>5536</v>
      </c>
      <c r="F669">
        <v>12159</v>
      </c>
      <c r="G669" t="s">
        <v>10</v>
      </c>
    </row>
    <row r="670" spans="1:7" x14ac:dyDescent="0.3">
      <c r="A670" t="s">
        <v>100</v>
      </c>
      <c r="B670" t="s">
        <v>46</v>
      </c>
      <c r="C670" t="s">
        <v>13</v>
      </c>
      <c r="D670">
        <v>11</v>
      </c>
      <c r="E670">
        <v>7403</v>
      </c>
      <c r="F670">
        <v>13138</v>
      </c>
      <c r="G670" t="s">
        <v>10</v>
      </c>
    </row>
    <row r="671" spans="1:7" x14ac:dyDescent="0.3">
      <c r="A671" t="s">
        <v>217</v>
      </c>
      <c r="B671" t="s">
        <v>75</v>
      </c>
      <c r="C671" t="s">
        <v>22</v>
      </c>
      <c r="D671">
        <v>25</v>
      </c>
      <c r="E671">
        <v>12033</v>
      </c>
      <c r="F671">
        <v>14568</v>
      </c>
      <c r="G671" t="s">
        <v>10</v>
      </c>
    </row>
    <row r="672" spans="1:7" x14ac:dyDescent="0.3">
      <c r="A672" t="s">
        <v>66</v>
      </c>
      <c r="B672" t="s">
        <v>52</v>
      </c>
      <c r="C672" t="s">
        <v>22</v>
      </c>
      <c r="D672">
        <v>8</v>
      </c>
      <c r="E672">
        <v>12141</v>
      </c>
      <c r="F672">
        <v>18164</v>
      </c>
      <c r="G672" t="s">
        <v>26</v>
      </c>
    </row>
    <row r="673" spans="1:7" x14ac:dyDescent="0.3">
      <c r="A673" t="s">
        <v>150</v>
      </c>
      <c r="B673" t="s">
        <v>69</v>
      </c>
      <c r="C673" t="s">
        <v>22</v>
      </c>
      <c r="D673">
        <v>7</v>
      </c>
      <c r="E673">
        <v>29890</v>
      </c>
      <c r="F673">
        <v>18551</v>
      </c>
      <c r="G673" t="s">
        <v>10</v>
      </c>
    </row>
    <row r="674" spans="1:7" x14ac:dyDescent="0.3">
      <c r="A674" t="s">
        <v>114</v>
      </c>
      <c r="B674" t="s">
        <v>120</v>
      </c>
      <c r="C674" t="s">
        <v>9</v>
      </c>
      <c r="D674">
        <v>15</v>
      </c>
      <c r="E674">
        <v>8240</v>
      </c>
      <c r="F674">
        <v>16018</v>
      </c>
      <c r="G674" t="s">
        <v>10</v>
      </c>
    </row>
    <row r="675" spans="1:7" x14ac:dyDescent="0.3">
      <c r="A675" t="s">
        <v>62</v>
      </c>
      <c r="B675" t="s">
        <v>8</v>
      </c>
      <c r="C675" t="s">
        <v>13</v>
      </c>
      <c r="D675">
        <v>20</v>
      </c>
      <c r="E675">
        <v>7064</v>
      </c>
      <c r="F675">
        <v>18107</v>
      </c>
      <c r="G675" t="s">
        <v>10</v>
      </c>
    </row>
    <row r="676" spans="1:7" x14ac:dyDescent="0.3">
      <c r="A676" t="s">
        <v>218</v>
      </c>
      <c r="B676" t="s">
        <v>48</v>
      </c>
      <c r="C676" t="s">
        <v>13</v>
      </c>
      <c r="D676">
        <v>9</v>
      </c>
      <c r="E676">
        <v>11292</v>
      </c>
      <c r="F676">
        <v>21703</v>
      </c>
      <c r="G676" t="s">
        <v>10</v>
      </c>
    </row>
    <row r="677" spans="1:7" x14ac:dyDescent="0.3">
      <c r="A677" t="s">
        <v>95</v>
      </c>
      <c r="B677" t="s">
        <v>42</v>
      </c>
      <c r="C677" t="s">
        <v>13</v>
      </c>
      <c r="D677">
        <v>18</v>
      </c>
      <c r="E677">
        <v>15397</v>
      </c>
      <c r="F677">
        <v>22900</v>
      </c>
      <c r="G677" t="s">
        <v>10</v>
      </c>
    </row>
    <row r="678" spans="1:7" x14ac:dyDescent="0.3">
      <c r="A678" t="s">
        <v>169</v>
      </c>
      <c r="B678" t="s">
        <v>101</v>
      </c>
      <c r="C678" t="s">
        <v>13</v>
      </c>
      <c r="D678">
        <v>9</v>
      </c>
      <c r="E678">
        <v>14324</v>
      </c>
      <c r="F678">
        <v>22944</v>
      </c>
      <c r="G678" t="s">
        <v>10</v>
      </c>
    </row>
    <row r="679" spans="1:7" x14ac:dyDescent="0.3">
      <c r="A679" t="s">
        <v>77</v>
      </c>
      <c r="B679" t="s">
        <v>21</v>
      </c>
      <c r="C679" t="s">
        <v>13</v>
      </c>
      <c r="D679">
        <v>16</v>
      </c>
      <c r="E679">
        <v>28627</v>
      </c>
      <c r="F679">
        <v>22428</v>
      </c>
      <c r="G679" t="s">
        <v>10</v>
      </c>
    </row>
    <row r="680" spans="1:7" x14ac:dyDescent="0.3">
      <c r="A680" t="s">
        <v>97</v>
      </c>
      <c r="B680" t="s">
        <v>21</v>
      </c>
      <c r="C680" t="s">
        <v>9</v>
      </c>
      <c r="D680">
        <v>12</v>
      </c>
      <c r="E680">
        <v>28188</v>
      </c>
      <c r="F680">
        <v>17160</v>
      </c>
      <c r="G680" t="s">
        <v>10</v>
      </c>
    </row>
    <row r="681" spans="1:7" x14ac:dyDescent="0.3">
      <c r="A681" t="s">
        <v>122</v>
      </c>
      <c r="B681" t="s">
        <v>29</v>
      </c>
      <c r="C681" t="s">
        <v>9</v>
      </c>
      <c r="D681">
        <v>16</v>
      </c>
      <c r="E681">
        <v>7152</v>
      </c>
      <c r="F681">
        <v>13511</v>
      </c>
      <c r="G681" t="s">
        <v>26</v>
      </c>
    </row>
    <row r="682" spans="1:7" x14ac:dyDescent="0.3">
      <c r="A682" t="s">
        <v>218</v>
      </c>
      <c r="B682" t="s">
        <v>29</v>
      </c>
      <c r="C682" t="s">
        <v>13</v>
      </c>
      <c r="D682">
        <v>22</v>
      </c>
      <c r="E682">
        <v>15314</v>
      </c>
      <c r="F682">
        <v>13241</v>
      </c>
      <c r="G682" t="s">
        <v>10</v>
      </c>
    </row>
    <row r="683" spans="1:7" x14ac:dyDescent="0.3">
      <c r="A683" t="s">
        <v>145</v>
      </c>
      <c r="B683" t="s">
        <v>19</v>
      </c>
      <c r="C683" t="s">
        <v>22</v>
      </c>
      <c r="D683">
        <v>12</v>
      </c>
      <c r="E683">
        <v>8887</v>
      </c>
      <c r="F683">
        <v>14419</v>
      </c>
      <c r="G683" t="s">
        <v>10</v>
      </c>
    </row>
    <row r="684" spans="1:7" x14ac:dyDescent="0.3">
      <c r="A684" t="s">
        <v>206</v>
      </c>
      <c r="B684" t="s">
        <v>31</v>
      </c>
      <c r="C684" t="s">
        <v>9</v>
      </c>
      <c r="D684">
        <v>11</v>
      </c>
      <c r="E684">
        <v>22744</v>
      </c>
      <c r="F684">
        <v>11917</v>
      </c>
      <c r="G684" t="s">
        <v>10</v>
      </c>
    </row>
    <row r="685" spans="1:7" x14ac:dyDescent="0.3">
      <c r="A685" t="s">
        <v>112</v>
      </c>
      <c r="B685" t="s">
        <v>17</v>
      </c>
      <c r="C685" t="s">
        <v>13</v>
      </c>
      <c r="D685">
        <v>6</v>
      </c>
      <c r="E685">
        <v>29386</v>
      </c>
      <c r="F685">
        <v>22117</v>
      </c>
      <c r="G685" t="s">
        <v>10</v>
      </c>
    </row>
    <row r="686" spans="1:7" x14ac:dyDescent="0.3">
      <c r="A686" t="s">
        <v>66</v>
      </c>
      <c r="B686" t="s">
        <v>37</v>
      </c>
      <c r="C686" t="s">
        <v>22</v>
      </c>
      <c r="D686">
        <v>20</v>
      </c>
      <c r="E686">
        <v>10182</v>
      </c>
      <c r="F686">
        <v>20960</v>
      </c>
      <c r="G686" t="s">
        <v>10</v>
      </c>
    </row>
    <row r="687" spans="1:7" x14ac:dyDescent="0.3">
      <c r="A687" t="s">
        <v>144</v>
      </c>
      <c r="B687" t="s">
        <v>37</v>
      </c>
      <c r="C687" t="s">
        <v>9</v>
      </c>
      <c r="D687">
        <v>7</v>
      </c>
      <c r="E687">
        <v>9542</v>
      </c>
      <c r="F687">
        <v>19207</v>
      </c>
      <c r="G687" t="s">
        <v>26</v>
      </c>
    </row>
    <row r="688" spans="1:7" x14ac:dyDescent="0.3">
      <c r="A688" t="s">
        <v>112</v>
      </c>
      <c r="B688" t="s">
        <v>48</v>
      </c>
      <c r="C688" t="s">
        <v>13</v>
      </c>
      <c r="D688">
        <v>16</v>
      </c>
      <c r="E688">
        <v>9075</v>
      </c>
      <c r="F688">
        <v>20251</v>
      </c>
      <c r="G688" t="s">
        <v>10</v>
      </c>
    </row>
    <row r="689" spans="1:7" x14ac:dyDescent="0.3">
      <c r="A689" t="s">
        <v>219</v>
      </c>
      <c r="B689" t="s">
        <v>27</v>
      </c>
      <c r="C689" t="s">
        <v>22</v>
      </c>
      <c r="D689">
        <v>11</v>
      </c>
      <c r="E689">
        <v>29465</v>
      </c>
      <c r="F689">
        <v>12279</v>
      </c>
      <c r="G689" t="s">
        <v>10</v>
      </c>
    </row>
    <row r="690" spans="1:7" x14ac:dyDescent="0.3">
      <c r="A690" t="s">
        <v>171</v>
      </c>
      <c r="B690" t="s">
        <v>52</v>
      </c>
      <c r="C690" t="s">
        <v>22</v>
      </c>
      <c r="D690">
        <v>10</v>
      </c>
      <c r="E690">
        <v>12276</v>
      </c>
      <c r="F690">
        <v>21882</v>
      </c>
      <c r="G690" t="s">
        <v>10</v>
      </c>
    </row>
    <row r="691" spans="1:7" x14ac:dyDescent="0.3">
      <c r="A691" t="s">
        <v>165</v>
      </c>
      <c r="B691" t="s">
        <v>12</v>
      </c>
      <c r="C691" t="s">
        <v>9</v>
      </c>
      <c r="D691">
        <v>15</v>
      </c>
      <c r="E691">
        <v>6323</v>
      </c>
      <c r="F691">
        <v>10774</v>
      </c>
      <c r="G691" t="s">
        <v>10</v>
      </c>
    </row>
    <row r="692" spans="1:7" x14ac:dyDescent="0.3">
      <c r="A692" t="s">
        <v>81</v>
      </c>
      <c r="B692" t="s">
        <v>54</v>
      </c>
      <c r="C692" t="s">
        <v>13</v>
      </c>
      <c r="D692">
        <v>11</v>
      </c>
      <c r="E692">
        <v>24970</v>
      </c>
      <c r="F692">
        <v>20678</v>
      </c>
      <c r="G692" t="s">
        <v>10</v>
      </c>
    </row>
    <row r="693" spans="1:7" x14ac:dyDescent="0.3">
      <c r="A693" t="s">
        <v>66</v>
      </c>
      <c r="B693" t="s">
        <v>52</v>
      </c>
      <c r="C693" t="s">
        <v>13</v>
      </c>
      <c r="D693">
        <v>13</v>
      </c>
      <c r="E693">
        <v>13913</v>
      </c>
      <c r="F693">
        <v>19383</v>
      </c>
      <c r="G693" t="s">
        <v>10</v>
      </c>
    </row>
    <row r="694" spans="1:7" x14ac:dyDescent="0.3">
      <c r="A694" t="s">
        <v>53</v>
      </c>
      <c r="B694" t="s">
        <v>15</v>
      </c>
      <c r="C694" t="s">
        <v>22</v>
      </c>
      <c r="D694">
        <v>5</v>
      </c>
      <c r="E694">
        <v>11028</v>
      </c>
      <c r="F694">
        <v>13433</v>
      </c>
      <c r="G694" t="s">
        <v>10</v>
      </c>
    </row>
    <row r="695" spans="1:7" x14ac:dyDescent="0.3">
      <c r="A695" t="s">
        <v>24</v>
      </c>
      <c r="B695" t="s">
        <v>35</v>
      </c>
      <c r="C695" t="s">
        <v>9</v>
      </c>
      <c r="D695">
        <v>6</v>
      </c>
      <c r="E695">
        <v>11286</v>
      </c>
      <c r="F695">
        <v>19884</v>
      </c>
      <c r="G695" t="s">
        <v>10</v>
      </c>
    </row>
    <row r="696" spans="1:7" x14ac:dyDescent="0.3">
      <c r="A696" t="s">
        <v>66</v>
      </c>
      <c r="B696" t="s">
        <v>37</v>
      </c>
      <c r="C696" t="s">
        <v>13</v>
      </c>
      <c r="D696">
        <v>25</v>
      </c>
      <c r="E696">
        <v>20899</v>
      </c>
      <c r="F696">
        <v>10846</v>
      </c>
      <c r="G696" t="s">
        <v>26</v>
      </c>
    </row>
    <row r="697" spans="1:7" x14ac:dyDescent="0.3">
      <c r="A697" t="s">
        <v>39</v>
      </c>
      <c r="B697" t="s">
        <v>120</v>
      </c>
      <c r="C697" t="s">
        <v>22</v>
      </c>
      <c r="D697">
        <v>17</v>
      </c>
      <c r="E697">
        <v>28928</v>
      </c>
      <c r="F697">
        <v>19764</v>
      </c>
      <c r="G697" t="s">
        <v>10</v>
      </c>
    </row>
    <row r="698" spans="1:7" x14ac:dyDescent="0.3">
      <c r="A698" t="s">
        <v>165</v>
      </c>
      <c r="B698" t="s">
        <v>79</v>
      </c>
      <c r="C698" t="s">
        <v>9</v>
      </c>
      <c r="D698">
        <v>25</v>
      </c>
      <c r="E698">
        <v>29354</v>
      </c>
      <c r="F698">
        <v>16908</v>
      </c>
      <c r="G698" t="s">
        <v>10</v>
      </c>
    </row>
    <row r="699" spans="1:7" x14ac:dyDescent="0.3">
      <c r="A699" t="s">
        <v>70</v>
      </c>
      <c r="B699" t="s">
        <v>17</v>
      </c>
      <c r="C699" t="s">
        <v>22</v>
      </c>
      <c r="D699">
        <v>24</v>
      </c>
      <c r="E699">
        <v>6778</v>
      </c>
      <c r="F699">
        <v>16259</v>
      </c>
      <c r="G699" t="s">
        <v>10</v>
      </c>
    </row>
    <row r="700" spans="1:7" x14ac:dyDescent="0.3">
      <c r="A700" t="s">
        <v>214</v>
      </c>
      <c r="B700" t="s">
        <v>75</v>
      </c>
      <c r="C700" t="s">
        <v>9</v>
      </c>
      <c r="D700">
        <v>15</v>
      </c>
      <c r="E700">
        <v>7994</v>
      </c>
      <c r="F700">
        <v>20314</v>
      </c>
      <c r="G700" t="s">
        <v>10</v>
      </c>
    </row>
    <row r="701" spans="1:7" x14ac:dyDescent="0.3">
      <c r="A701" t="s">
        <v>165</v>
      </c>
      <c r="B701" t="s">
        <v>25</v>
      </c>
      <c r="C701" t="s">
        <v>13</v>
      </c>
      <c r="D701">
        <v>21</v>
      </c>
      <c r="E701">
        <v>15731</v>
      </c>
      <c r="F701">
        <v>11146</v>
      </c>
      <c r="G701" t="s">
        <v>26</v>
      </c>
    </row>
    <row r="702" spans="1:7" x14ac:dyDescent="0.3">
      <c r="A702" t="s">
        <v>115</v>
      </c>
      <c r="B702" t="s">
        <v>120</v>
      </c>
      <c r="C702" t="s">
        <v>22</v>
      </c>
      <c r="D702">
        <v>14</v>
      </c>
      <c r="E702">
        <v>21461</v>
      </c>
      <c r="F702">
        <v>21768</v>
      </c>
      <c r="G702" t="s">
        <v>10</v>
      </c>
    </row>
    <row r="703" spans="1:7" x14ac:dyDescent="0.3">
      <c r="A703" t="s">
        <v>208</v>
      </c>
      <c r="B703" t="s">
        <v>92</v>
      </c>
      <c r="C703" t="s">
        <v>22</v>
      </c>
      <c r="D703">
        <v>18</v>
      </c>
      <c r="E703">
        <v>25515</v>
      </c>
      <c r="F703">
        <v>19012</v>
      </c>
      <c r="G703" t="s">
        <v>10</v>
      </c>
    </row>
    <row r="704" spans="1:7" x14ac:dyDescent="0.3">
      <c r="A704" t="s">
        <v>130</v>
      </c>
      <c r="B704" t="s">
        <v>48</v>
      </c>
      <c r="C704" t="s">
        <v>9</v>
      </c>
      <c r="D704">
        <v>10</v>
      </c>
      <c r="E704">
        <v>18223</v>
      </c>
      <c r="F704">
        <v>17405</v>
      </c>
      <c r="G704" t="s">
        <v>10</v>
      </c>
    </row>
    <row r="705" spans="1:7" x14ac:dyDescent="0.3">
      <c r="A705" t="s">
        <v>119</v>
      </c>
      <c r="B705" t="s">
        <v>37</v>
      </c>
      <c r="C705" t="s">
        <v>9</v>
      </c>
      <c r="D705">
        <v>20</v>
      </c>
      <c r="E705">
        <v>20920</v>
      </c>
      <c r="F705">
        <v>18047</v>
      </c>
      <c r="G705" t="s">
        <v>10</v>
      </c>
    </row>
    <row r="706" spans="1:7" x14ac:dyDescent="0.3">
      <c r="A706" t="s">
        <v>107</v>
      </c>
      <c r="B706" t="s">
        <v>25</v>
      </c>
      <c r="C706" t="s">
        <v>13</v>
      </c>
      <c r="D706">
        <v>22</v>
      </c>
      <c r="E706">
        <v>27946</v>
      </c>
      <c r="F706">
        <v>16377</v>
      </c>
      <c r="G706" t="s">
        <v>10</v>
      </c>
    </row>
    <row r="707" spans="1:7" x14ac:dyDescent="0.3">
      <c r="A707" t="s">
        <v>218</v>
      </c>
      <c r="B707" t="s">
        <v>50</v>
      </c>
      <c r="C707" t="s">
        <v>9</v>
      </c>
      <c r="D707">
        <v>9</v>
      </c>
      <c r="E707">
        <v>15446</v>
      </c>
      <c r="F707">
        <v>20061</v>
      </c>
      <c r="G707" t="s">
        <v>10</v>
      </c>
    </row>
    <row r="708" spans="1:7" x14ac:dyDescent="0.3">
      <c r="A708" t="s">
        <v>16</v>
      </c>
      <c r="B708" t="s">
        <v>17</v>
      </c>
      <c r="C708" t="s">
        <v>22</v>
      </c>
      <c r="D708">
        <v>9</v>
      </c>
      <c r="E708">
        <v>22420</v>
      </c>
      <c r="F708">
        <v>18826</v>
      </c>
      <c r="G708" t="s">
        <v>10</v>
      </c>
    </row>
    <row r="709" spans="1:7" x14ac:dyDescent="0.3">
      <c r="A709" t="s">
        <v>18</v>
      </c>
      <c r="B709" t="s">
        <v>42</v>
      </c>
      <c r="C709" t="s">
        <v>22</v>
      </c>
      <c r="D709">
        <v>23</v>
      </c>
      <c r="E709">
        <v>5380</v>
      </c>
      <c r="F709">
        <v>12474</v>
      </c>
      <c r="G709" t="s">
        <v>10</v>
      </c>
    </row>
    <row r="710" spans="1:7" x14ac:dyDescent="0.3">
      <c r="A710" t="s">
        <v>207</v>
      </c>
      <c r="B710" t="s">
        <v>64</v>
      </c>
      <c r="C710" t="s">
        <v>22</v>
      </c>
      <c r="D710">
        <v>11</v>
      </c>
      <c r="E710">
        <v>14970</v>
      </c>
      <c r="F710">
        <v>22787</v>
      </c>
      <c r="G710" t="s">
        <v>10</v>
      </c>
    </row>
    <row r="711" spans="1:7" x14ac:dyDescent="0.3">
      <c r="A711" t="s">
        <v>103</v>
      </c>
      <c r="B711" t="s">
        <v>35</v>
      </c>
      <c r="C711" t="s">
        <v>22</v>
      </c>
      <c r="D711">
        <v>16</v>
      </c>
      <c r="E711">
        <v>19096</v>
      </c>
      <c r="F711">
        <v>20726</v>
      </c>
      <c r="G711" t="s">
        <v>10</v>
      </c>
    </row>
    <row r="712" spans="1:7" x14ac:dyDescent="0.3">
      <c r="A712" t="s">
        <v>106</v>
      </c>
      <c r="B712" t="s">
        <v>79</v>
      </c>
      <c r="C712" t="s">
        <v>13</v>
      </c>
      <c r="D712">
        <v>18</v>
      </c>
      <c r="E712">
        <v>22969</v>
      </c>
      <c r="F712">
        <v>13915</v>
      </c>
      <c r="G712" t="s">
        <v>10</v>
      </c>
    </row>
    <row r="713" spans="1:7" x14ac:dyDescent="0.3">
      <c r="A713" t="s">
        <v>200</v>
      </c>
      <c r="B713" t="s">
        <v>67</v>
      </c>
      <c r="C713" t="s">
        <v>9</v>
      </c>
      <c r="D713">
        <v>23</v>
      </c>
      <c r="E713">
        <v>11341</v>
      </c>
      <c r="F713">
        <v>23908</v>
      </c>
      <c r="G713" t="s">
        <v>10</v>
      </c>
    </row>
    <row r="714" spans="1:7" x14ac:dyDescent="0.3">
      <c r="A714" t="s">
        <v>176</v>
      </c>
      <c r="B714" t="s">
        <v>54</v>
      </c>
      <c r="C714" t="s">
        <v>22</v>
      </c>
      <c r="D714">
        <v>25</v>
      </c>
      <c r="E714">
        <v>10937</v>
      </c>
      <c r="F714">
        <v>14924</v>
      </c>
      <c r="G714" t="s">
        <v>10</v>
      </c>
    </row>
    <row r="715" spans="1:7" x14ac:dyDescent="0.3">
      <c r="A715" t="s">
        <v>108</v>
      </c>
      <c r="B715" t="s">
        <v>35</v>
      </c>
      <c r="C715" t="s">
        <v>22</v>
      </c>
      <c r="D715">
        <v>17</v>
      </c>
      <c r="E715">
        <v>22739</v>
      </c>
      <c r="F715">
        <v>11095</v>
      </c>
      <c r="G715" t="s">
        <v>10</v>
      </c>
    </row>
    <row r="716" spans="1:7" x14ac:dyDescent="0.3">
      <c r="A716" t="s">
        <v>135</v>
      </c>
      <c r="B716" t="s">
        <v>8</v>
      </c>
      <c r="C716" t="s">
        <v>13</v>
      </c>
      <c r="D716">
        <v>22</v>
      </c>
      <c r="E716">
        <v>8979</v>
      </c>
      <c r="F716">
        <v>14623</v>
      </c>
      <c r="G716" t="s">
        <v>10</v>
      </c>
    </row>
    <row r="717" spans="1:7" x14ac:dyDescent="0.3">
      <c r="A717" t="s">
        <v>220</v>
      </c>
      <c r="B717" t="s">
        <v>12</v>
      </c>
      <c r="C717" t="s">
        <v>22</v>
      </c>
      <c r="D717">
        <v>7</v>
      </c>
      <c r="E717">
        <v>27302</v>
      </c>
      <c r="F717">
        <v>16586</v>
      </c>
      <c r="G717" t="s">
        <v>10</v>
      </c>
    </row>
    <row r="718" spans="1:7" x14ac:dyDescent="0.3">
      <c r="A718" t="s">
        <v>38</v>
      </c>
      <c r="B718" t="s">
        <v>46</v>
      </c>
      <c r="C718" t="s">
        <v>9</v>
      </c>
      <c r="D718">
        <v>7</v>
      </c>
      <c r="E718">
        <v>18621</v>
      </c>
      <c r="F718">
        <v>10691</v>
      </c>
      <c r="G718" t="s">
        <v>26</v>
      </c>
    </row>
    <row r="719" spans="1:7" x14ac:dyDescent="0.3">
      <c r="A719" t="s">
        <v>71</v>
      </c>
      <c r="B719" t="s">
        <v>33</v>
      </c>
      <c r="C719" t="s">
        <v>22</v>
      </c>
      <c r="D719">
        <v>18</v>
      </c>
      <c r="E719">
        <v>9254</v>
      </c>
      <c r="F719">
        <v>12353</v>
      </c>
      <c r="G719" t="s">
        <v>10</v>
      </c>
    </row>
    <row r="720" spans="1:7" x14ac:dyDescent="0.3">
      <c r="A720" t="s">
        <v>58</v>
      </c>
      <c r="B720" t="s">
        <v>101</v>
      </c>
      <c r="C720" t="s">
        <v>22</v>
      </c>
      <c r="D720">
        <v>13</v>
      </c>
      <c r="E720">
        <v>22969</v>
      </c>
      <c r="F720">
        <v>14445</v>
      </c>
      <c r="G720" t="s">
        <v>10</v>
      </c>
    </row>
    <row r="721" spans="1:7" x14ac:dyDescent="0.3">
      <c r="A721" t="s">
        <v>195</v>
      </c>
      <c r="B721" t="s">
        <v>69</v>
      </c>
      <c r="C721" t="s">
        <v>22</v>
      </c>
      <c r="D721">
        <v>9</v>
      </c>
      <c r="E721">
        <v>19590</v>
      </c>
      <c r="F721">
        <v>12391</v>
      </c>
      <c r="G721" t="s">
        <v>10</v>
      </c>
    </row>
    <row r="722" spans="1:7" x14ac:dyDescent="0.3">
      <c r="A722" t="s">
        <v>93</v>
      </c>
      <c r="B722" t="s">
        <v>75</v>
      </c>
      <c r="C722" t="s">
        <v>9</v>
      </c>
      <c r="D722">
        <v>22</v>
      </c>
      <c r="E722">
        <v>28794</v>
      </c>
      <c r="F722">
        <v>21832</v>
      </c>
      <c r="G722" t="s">
        <v>10</v>
      </c>
    </row>
    <row r="723" spans="1:7" x14ac:dyDescent="0.3">
      <c r="A723" t="s">
        <v>162</v>
      </c>
      <c r="B723" t="s">
        <v>56</v>
      </c>
      <c r="C723" t="s">
        <v>13</v>
      </c>
      <c r="D723">
        <v>16</v>
      </c>
      <c r="E723">
        <v>19213</v>
      </c>
      <c r="F723">
        <v>17169</v>
      </c>
      <c r="G723" t="s">
        <v>10</v>
      </c>
    </row>
    <row r="724" spans="1:7" x14ac:dyDescent="0.3">
      <c r="A724" t="s">
        <v>20</v>
      </c>
      <c r="B724" t="s">
        <v>12</v>
      </c>
      <c r="C724" t="s">
        <v>22</v>
      </c>
      <c r="D724">
        <v>12</v>
      </c>
      <c r="E724">
        <v>29871</v>
      </c>
      <c r="F724">
        <v>21926</v>
      </c>
      <c r="G724" t="s">
        <v>10</v>
      </c>
    </row>
    <row r="725" spans="1:7" x14ac:dyDescent="0.3">
      <c r="A725" t="s">
        <v>121</v>
      </c>
      <c r="B725" t="s">
        <v>29</v>
      </c>
      <c r="C725" t="s">
        <v>22</v>
      </c>
      <c r="D725">
        <v>16</v>
      </c>
      <c r="E725">
        <v>24145</v>
      </c>
      <c r="F725">
        <v>22529</v>
      </c>
      <c r="G725" t="s">
        <v>10</v>
      </c>
    </row>
    <row r="726" spans="1:7" x14ac:dyDescent="0.3">
      <c r="A726" t="s">
        <v>109</v>
      </c>
      <c r="B726" t="s">
        <v>56</v>
      </c>
      <c r="C726" t="s">
        <v>22</v>
      </c>
      <c r="D726">
        <v>25</v>
      </c>
      <c r="E726">
        <v>24215</v>
      </c>
      <c r="F726">
        <v>24466</v>
      </c>
      <c r="G726" t="s">
        <v>10</v>
      </c>
    </row>
    <row r="727" spans="1:7" x14ac:dyDescent="0.3">
      <c r="A727" t="s">
        <v>141</v>
      </c>
      <c r="B727" t="s">
        <v>92</v>
      </c>
      <c r="C727" t="s">
        <v>13</v>
      </c>
      <c r="D727">
        <v>25</v>
      </c>
      <c r="E727">
        <v>9001</v>
      </c>
      <c r="F727">
        <v>14892</v>
      </c>
      <c r="G727" t="s">
        <v>26</v>
      </c>
    </row>
    <row r="728" spans="1:7" x14ac:dyDescent="0.3">
      <c r="A728" t="s">
        <v>111</v>
      </c>
      <c r="B728" t="s">
        <v>17</v>
      </c>
      <c r="C728" t="s">
        <v>13</v>
      </c>
      <c r="D728">
        <v>20</v>
      </c>
      <c r="E728">
        <v>20224</v>
      </c>
      <c r="F728">
        <v>12612</v>
      </c>
      <c r="G728" t="s">
        <v>10</v>
      </c>
    </row>
    <row r="729" spans="1:7" x14ac:dyDescent="0.3">
      <c r="A729" t="s">
        <v>212</v>
      </c>
      <c r="B729" t="s">
        <v>40</v>
      </c>
      <c r="C729" t="s">
        <v>22</v>
      </c>
      <c r="D729">
        <v>22</v>
      </c>
      <c r="E729">
        <v>20697</v>
      </c>
      <c r="F729">
        <v>21125</v>
      </c>
      <c r="G729" t="s">
        <v>10</v>
      </c>
    </row>
    <row r="730" spans="1:7" x14ac:dyDescent="0.3">
      <c r="A730" t="s">
        <v>125</v>
      </c>
      <c r="B730" t="s">
        <v>29</v>
      </c>
      <c r="C730" t="s">
        <v>9</v>
      </c>
      <c r="D730">
        <v>18</v>
      </c>
      <c r="E730">
        <v>21712</v>
      </c>
      <c r="F730">
        <v>24615</v>
      </c>
      <c r="G730" t="s">
        <v>10</v>
      </c>
    </row>
    <row r="731" spans="1:7" x14ac:dyDescent="0.3">
      <c r="A731" t="s">
        <v>77</v>
      </c>
      <c r="B731" t="s">
        <v>75</v>
      </c>
      <c r="C731" t="s">
        <v>9</v>
      </c>
      <c r="D731">
        <v>14</v>
      </c>
      <c r="E731">
        <v>20679</v>
      </c>
      <c r="F731">
        <v>10359</v>
      </c>
      <c r="G731" t="s">
        <v>10</v>
      </c>
    </row>
    <row r="732" spans="1:7" x14ac:dyDescent="0.3">
      <c r="A732" t="s">
        <v>30</v>
      </c>
      <c r="B732" t="s">
        <v>42</v>
      </c>
      <c r="C732" t="s">
        <v>9</v>
      </c>
      <c r="D732">
        <v>23</v>
      </c>
      <c r="E732">
        <v>24814</v>
      </c>
      <c r="F732">
        <v>16839</v>
      </c>
      <c r="G732" t="s">
        <v>10</v>
      </c>
    </row>
    <row r="733" spans="1:7" x14ac:dyDescent="0.3">
      <c r="A733" t="s">
        <v>151</v>
      </c>
      <c r="B733" t="s">
        <v>15</v>
      </c>
      <c r="C733" t="s">
        <v>22</v>
      </c>
      <c r="D733">
        <v>14</v>
      </c>
      <c r="E733">
        <v>17516</v>
      </c>
      <c r="F733">
        <v>15819</v>
      </c>
      <c r="G733" t="s">
        <v>10</v>
      </c>
    </row>
    <row r="734" spans="1:7" x14ac:dyDescent="0.3">
      <c r="A734" t="s">
        <v>112</v>
      </c>
      <c r="B734" t="s">
        <v>27</v>
      </c>
      <c r="C734" t="s">
        <v>13</v>
      </c>
      <c r="D734">
        <v>18</v>
      </c>
      <c r="E734">
        <v>25817</v>
      </c>
      <c r="F734">
        <v>16224</v>
      </c>
      <c r="G734" t="s">
        <v>10</v>
      </c>
    </row>
    <row r="735" spans="1:7" x14ac:dyDescent="0.3">
      <c r="A735" t="s">
        <v>138</v>
      </c>
      <c r="B735" t="s">
        <v>75</v>
      </c>
      <c r="C735" t="s">
        <v>13</v>
      </c>
      <c r="D735">
        <v>24</v>
      </c>
      <c r="E735">
        <v>9831</v>
      </c>
      <c r="F735">
        <v>23791</v>
      </c>
      <c r="G735" t="s">
        <v>10</v>
      </c>
    </row>
    <row r="736" spans="1:7" x14ac:dyDescent="0.3">
      <c r="A736" t="s">
        <v>159</v>
      </c>
      <c r="B736" t="s">
        <v>8</v>
      </c>
      <c r="C736" t="s">
        <v>9</v>
      </c>
      <c r="D736">
        <v>21</v>
      </c>
      <c r="E736">
        <v>9940</v>
      </c>
      <c r="F736">
        <v>24972</v>
      </c>
      <c r="G736" t="s">
        <v>26</v>
      </c>
    </row>
    <row r="737" spans="1:7" x14ac:dyDescent="0.3">
      <c r="A737" t="s">
        <v>65</v>
      </c>
      <c r="B737" t="s">
        <v>54</v>
      </c>
      <c r="C737" t="s">
        <v>22</v>
      </c>
      <c r="D737">
        <v>8</v>
      </c>
      <c r="E737">
        <v>10897</v>
      </c>
      <c r="F737">
        <v>17156</v>
      </c>
      <c r="G737" t="s">
        <v>10</v>
      </c>
    </row>
    <row r="738" spans="1:7" x14ac:dyDescent="0.3">
      <c r="A738" t="s">
        <v>53</v>
      </c>
      <c r="B738" t="s">
        <v>56</v>
      </c>
      <c r="C738" t="s">
        <v>9</v>
      </c>
      <c r="D738">
        <v>10</v>
      </c>
      <c r="E738">
        <v>21279</v>
      </c>
      <c r="F738">
        <v>17752</v>
      </c>
      <c r="G738" t="s">
        <v>10</v>
      </c>
    </row>
    <row r="739" spans="1:7" x14ac:dyDescent="0.3">
      <c r="A739" t="s">
        <v>99</v>
      </c>
      <c r="B739" t="s">
        <v>19</v>
      </c>
      <c r="C739" t="s">
        <v>13</v>
      </c>
      <c r="D739">
        <v>12</v>
      </c>
      <c r="E739">
        <v>11791</v>
      </c>
      <c r="F739">
        <v>14410</v>
      </c>
      <c r="G739" t="s">
        <v>10</v>
      </c>
    </row>
    <row r="740" spans="1:7" x14ac:dyDescent="0.3">
      <c r="A740" t="s">
        <v>207</v>
      </c>
      <c r="B740" t="s">
        <v>31</v>
      </c>
      <c r="C740" t="s">
        <v>13</v>
      </c>
      <c r="D740">
        <v>20</v>
      </c>
      <c r="E740">
        <v>26244</v>
      </c>
      <c r="F740">
        <v>19986</v>
      </c>
      <c r="G740" t="s">
        <v>10</v>
      </c>
    </row>
    <row r="741" spans="1:7" x14ac:dyDescent="0.3">
      <c r="A741" t="s">
        <v>99</v>
      </c>
      <c r="B741" t="s">
        <v>8</v>
      </c>
      <c r="C741" t="s">
        <v>9</v>
      </c>
      <c r="D741">
        <v>5</v>
      </c>
      <c r="E741">
        <v>23075</v>
      </c>
      <c r="F741">
        <v>17322</v>
      </c>
      <c r="G741" t="s">
        <v>10</v>
      </c>
    </row>
    <row r="742" spans="1:7" x14ac:dyDescent="0.3">
      <c r="A742" t="s">
        <v>214</v>
      </c>
      <c r="B742" t="s">
        <v>31</v>
      </c>
      <c r="C742" t="s">
        <v>13</v>
      </c>
      <c r="D742">
        <v>19</v>
      </c>
      <c r="E742">
        <v>6847</v>
      </c>
      <c r="F742">
        <v>15126</v>
      </c>
      <c r="G742" t="s">
        <v>10</v>
      </c>
    </row>
    <row r="743" spans="1:7" x14ac:dyDescent="0.3">
      <c r="A743" t="s">
        <v>86</v>
      </c>
      <c r="B743" t="s">
        <v>21</v>
      </c>
      <c r="C743" t="s">
        <v>13</v>
      </c>
      <c r="D743">
        <v>20</v>
      </c>
      <c r="E743">
        <v>11564</v>
      </c>
      <c r="F743">
        <v>22321</v>
      </c>
      <c r="G743" t="s">
        <v>10</v>
      </c>
    </row>
    <row r="744" spans="1:7" x14ac:dyDescent="0.3">
      <c r="A744" t="s">
        <v>90</v>
      </c>
      <c r="B744" t="s">
        <v>52</v>
      </c>
      <c r="C744" t="s">
        <v>9</v>
      </c>
      <c r="D744">
        <v>20</v>
      </c>
      <c r="E744">
        <v>23540</v>
      </c>
      <c r="F744">
        <v>19917</v>
      </c>
      <c r="G744" t="s">
        <v>10</v>
      </c>
    </row>
    <row r="745" spans="1:7" x14ac:dyDescent="0.3">
      <c r="A745" t="s">
        <v>71</v>
      </c>
      <c r="B745" t="s">
        <v>35</v>
      </c>
      <c r="C745" t="s">
        <v>9</v>
      </c>
      <c r="D745">
        <v>18</v>
      </c>
      <c r="E745">
        <v>11979</v>
      </c>
      <c r="F745">
        <v>12683</v>
      </c>
      <c r="G745" t="s">
        <v>10</v>
      </c>
    </row>
    <row r="746" spans="1:7" x14ac:dyDescent="0.3">
      <c r="A746" t="s">
        <v>144</v>
      </c>
      <c r="B746" t="s">
        <v>48</v>
      </c>
      <c r="C746" t="s">
        <v>9</v>
      </c>
      <c r="D746">
        <v>14</v>
      </c>
      <c r="E746">
        <v>15011</v>
      </c>
      <c r="F746">
        <v>21965</v>
      </c>
      <c r="G746" t="s">
        <v>10</v>
      </c>
    </row>
    <row r="747" spans="1:7" x14ac:dyDescent="0.3">
      <c r="A747" t="s">
        <v>116</v>
      </c>
      <c r="B747" t="s">
        <v>21</v>
      </c>
      <c r="C747" t="s">
        <v>22</v>
      </c>
      <c r="D747">
        <v>6</v>
      </c>
      <c r="E747">
        <v>27587</v>
      </c>
      <c r="F747">
        <v>19292</v>
      </c>
      <c r="G747" t="s">
        <v>10</v>
      </c>
    </row>
    <row r="748" spans="1:7" x14ac:dyDescent="0.3">
      <c r="A748" t="s">
        <v>110</v>
      </c>
      <c r="B748" t="s">
        <v>120</v>
      </c>
      <c r="C748" t="s">
        <v>22</v>
      </c>
      <c r="D748">
        <v>22</v>
      </c>
      <c r="E748">
        <v>24320</v>
      </c>
      <c r="F748">
        <v>21281</v>
      </c>
      <c r="G748" t="s">
        <v>10</v>
      </c>
    </row>
    <row r="749" spans="1:7" x14ac:dyDescent="0.3">
      <c r="A749" t="s">
        <v>220</v>
      </c>
      <c r="B749" t="s">
        <v>40</v>
      </c>
      <c r="C749" t="s">
        <v>9</v>
      </c>
      <c r="D749">
        <v>13</v>
      </c>
      <c r="E749">
        <v>18131</v>
      </c>
      <c r="F749">
        <v>11936</v>
      </c>
      <c r="G749" t="s">
        <v>10</v>
      </c>
    </row>
    <row r="750" spans="1:7" x14ac:dyDescent="0.3">
      <c r="A750" t="s">
        <v>199</v>
      </c>
      <c r="B750" t="s">
        <v>12</v>
      </c>
      <c r="C750" t="s">
        <v>22</v>
      </c>
      <c r="D750">
        <v>7</v>
      </c>
      <c r="E750">
        <v>14989</v>
      </c>
      <c r="F750">
        <v>24349</v>
      </c>
      <c r="G750" t="s">
        <v>10</v>
      </c>
    </row>
    <row r="751" spans="1:7" x14ac:dyDescent="0.3">
      <c r="A751" t="s">
        <v>203</v>
      </c>
      <c r="B751" t="s">
        <v>17</v>
      </c>
      <c r="C751" t="s">
        <v>13</v>
      </c>
      <c r="D751">
        <v>18</v>
      </c>
      <c r="E751">
        <v>5788</v>
      </c>
      <c r="F751">
        <v>13752</v>
      </c>
      <c r="G751" t="s">
        <v>10</v>
      </c>
    </row>
    <row r="752" spans="1:7" x14ac:dyDescent="0.3">
      <c r="A752" t="s">
        <v>83</v>
      </c>
      <c r="B752" t="s">
        <v>46</v>
      </c>
      <c r="C752" t="s">
        <v>13</v>
      </c>
      <c r="D752">
        <v>5</v>
      </c>
      <c r="E752">
        <v>14616</v>
      </c>
      <c r="F752">
        <v>18248</v>
      </c>
      <c r="G752" t="s">
        <v>10</v>
      </c>
    </row>
    <row r="753" spans="1:7" x14ac:dyDescent="0.3">
      <c r="A753" t="s">
        <v>158</v>
      </c>
      <c r="B753" t="s">
        <v>19</v>
      </c>
      <c r="C753" t="s">
        <v>22</v>
      </c>
      <c r="D753">
        <v>14</v>
      </c>
      <c r="E753">
        <v>18008</v>
      </c>
      <c r="F753">
        <v>11075</v>
      </c>
      <c r="G753" t="s">
        <v>10</v>
      </c>
    </row>
    <row r="754" spans="1:7" x14ac:dyDescent="0.3">
      <c r="A754" t="s">
        <v>141</v>
      </c>
      <c r="B754" t="s">
        <v>35</v>
      </c>
      <c r="C754" t="s">
        <v>22</v>
      </c>
      <c r="D754">
        <v>25</v>
      </c>
      <c r="E754">
        <v>28733</v>
      </c>
      <c r="F754">
        <v>17720</v>
      </c>
      <c r="G754" t="s">
        <v>10</v>
      </c>
    </row>
    <row r="755" spans="1:7" x14ac:dyDescent="0.3">
      <c r="A755" t="s">
        <v>221</v>
      </c>
      <c r="B755" t="s">
        <v>15</v>
      </c>
      <c r="C755" t="s">
        <v>13</v>
      </c>
      <c r="D755">
        <v>11</v>
      </c>
      <c r="E755">
        <v>22500</v>
      </c>
      <c r="F755">
        <v>10793</v>
      </c>
      <c r="G755" t="s">
        <v>10</v>
      </c>
    </row>
    <row r="756" spans="1:7" x14ac:dyDescent="0.3">
      <c r="A756" t="s">
        <v>197</v>
      </c>
      <c r="B756" t="s">
        <v>27</v>
      </c>
      <c r="C756" t="s">
        <v>22</v>
      </c>
      <c r="D756">
        <v>5</v>
      </c>
      <c r="E756">
        <v>8017</v>
      </c>
      <c r="F756">
        <v>24291</v>
      </c>
      <c r="G756" t="s">
        <v>10</v>
      </c>
    </row>
    <row r="757" spans="1:7" x14ac:dyDescent="0.3">
      <c r="A757" t="s">
        <v>174</v>
      </c>
      <c r="B757" t="s">
        <v>29</v>
      </c>
      <c r="C757" t="s">
        <v>9</v>
      </c>
      <c r="D757">
        <v>25</v>
      </c>
      <c r="E757">
        <v>14662</v>
      </c>
      <c r="F757">
        <v>13439</v>
      </c>
      <c r="G757" t="s">
        <v>10</v>
      </c>
    </row>
    <row r="758" spans="1:7" x14ac:dyDescent="0.3">
      <c r="A758" t="s">
        <v>41</v>
      </c>
      <c r="B758" t="s">
        <v>56</v>
      </c>
      <c r="C758" t="s">
        <v>13</v>
      </c>
      <c r="D758">
        <v>20</v>
      </c>
      <c r="E758">
        <v>26548</v>
      </c>
      <c r="F758">
        <v>16843</v>
      </c>
      <c r="G758" t="s">
        <v>10</v>
      </c>
    </row>
    <row r="759" spans="1:7" x14ac:dyDescent="0.3">
      <c r="A759" t="s">
        <v>188</v>
      </c>
      <c r="B759" t="s">
        <v>69</v>
      </c>
      <c r="C759" t="s">
        <v>22</v>
      </c>
      <c r="D759">
        <v>7</v>
      </c>
      <c r="E759">
        <v>19000</v>
      </c>
      <c r="F759">
        <v>16202</v>
      </c>
      <c r="G759" t="s">
        <v>10</v>
      </c>
    </row>
    <row r="760" spans="1:7" x14ac:dyDescent="0.3">
      <c r="A760" t="s">
        <v>11</v>
      </c>
      <c r="B760" t="s">
        <v>12</v>
      </c>
      <c r="C760" t="s">
        <v>9</v>
      </c>
      <c r="D760">
        <v>18</v>
      </c>
      <c r="E760">
        <v>5350</v>
      </c>
      <c r="F760">
        <v>18035</v>
      </c>
      <c r="G760" t="s">
        <v>10</v>
      </c>
    </row>
    <row r="761" spans="1:7" x14ac:dyDescent="0.3">
      <c r="A761" t="s">
        <v>97</v>
      </c>
      <c r="B761" t="s">
        <v>17</v>
      </c>
      <c r="C761" t="s">
        <v>13</v>
      </c>
      <c r="D761">
        <v>6</v>
      </c>
      <c r="E761">
        <v>15837</v>
      </c>
      <c r="F761">
        <v>11661</v>
      </c>
      <c r="G761" t="s">
        <v>10</v>
      </c>
    </row>
    <row r="762" spans="1:7" x14ac:dyDescent="0.3">
      <c r="A762" t="s">
        <v>58</v>
      </c>
      <c r="B762" t="s">
        <v>120</v>
      </c>
      <c r="C762" t="s">
        <v>22</v>
      </c>
      <c r="D762">
        <v>24</v>
      </c>
      <c r="E762">
        <v>6477</v>
      </c>
      <c r="F762">
        <v>22175</v>
      </c>
      <c r="G762" t="s">
        <v>26</v>
      </c>
    </row>
    <row r="763" spans="1:7" x14ac:dyDescent="0.3">
      <c r="A763" t="s">
        <v>96</v>
      </c>
      <c r="B763" t="s">
        <v>31</v>
      </c>
      <c r="C763" t="s">
        <v>9</v>
      </c>
      <c r="D763">
        <v>7</v>
      </c>
      <c r="E763">
        <v>23663</v>
      </c>
      <c r="F763">
        <v>11957</v>
      </c>
      <c r="G763" t="s">
        <v>10</v>
      </c>
    </row>
    <row r="764" spans="1:7" x14ac:dyDescent="0.3">
      <c r="A764" t="s">
        <v>59</v>
      </c>
      <c r="B764" t="s">
        <v>42</v>
      </c>
      <c r="C764" t="s">
        <v>13</v>
      </c>
      <c r="D764">
        <v>7</v>
      </c>
      <c r="E764">
        <v>12697</v>
      </c>
      <c r="F764">
        <v>23067</v>
      </c>
      <c r="G764" t="s">
        <v>10</v>
      </c>
    </row>
    <row r="765" spans="1:7" x14ac:dyDescent="0.3">
      <c r="A765" t="s">
        <v>47</v>
      </c>
      <c r="B765" t="s">
        <v>33</v>
      </c>
      <c r="C765" t="s">
        <v>13</v>
      </c>
      <c r="D765">
        <v>12</v>
      </c>
      <c r="E765">
        <v>17852</v>
      </c>
      <c r="F765">
        <v>19080</v>
      </c>
      <c r="G765" t="s">
        <v>26</v>
      </c>
    </row>
    <row r="766" spans="1:7" x14ac:dyDescent="0.3">
      <c r="A766" t="s">
        <v>127</v>
      </c>
      <c r="B766" t="s">
        <v>29</v>
      </c>
      <c r="C766" t="s">
        <v>9</v>
      </c>
      <c r="D766">
        <v>6</v>
      </c>
      <c r="E766">
        <v>25621</v>
      </c>
      <c r="F766">
        <v>12794</v>
      </c>
      <c r="G766" t="s">
        <v>10</v>
      </c>
    </row>
    <row r="767" spans="1:7" x14ac:dyDescent="0.3">
      <c r="A767" t="s">
        <v>118</v>
      </c>
      <c r="B767" t="s">
        <v>92</v>
      </c>
      <c r="C767" t="s">
        <v>13</v>
      </c>
      <c r="D767">
        <v>18</v>
      </c>
      <c r="E767">
        <v>23056</v>
      </c>
      <c r="F767">
        <v>23569</v>
      </c>
      <c r="G767" t="s">
        <v>10</v>
      </c>
    </row>
    <row r="768" spans="1:7" x14ac:dyDescent="0.3">
      <c r="A768" t="s">
        <v>165</v>
      </c>
      <c r="B768" t="s">
        <v>69</v>
      </c>
      <c r="C768" t="s">
        <v>13</v>
      </c>
      <c r="D768">
        <v>14</v>
      </c>
      <c r="E768">
        <v>13789</v>
      </c>
      <c r="F768">
        <v>23412</v>
      </c>
      <c r="G768" t="s">
        <v>10</v>
      </c>
    </row>
    <row r="769" spans="1:7" x14ac:dyDescent="0.3">
      <c r="A769" t="s">
        <v>165</v>
      </c>
      <c r="B769" t="s">
        <v>67</v>
      </c>
      <c r="C769" t="s">
        <v>22</v>
      </c>
      <c r="D769">
        <v>24</v>
      </c>
      <c r="E769">
        <v>14139</v>
      </c>
      <c r="F769">
        <v>22837</v>
      </c>
      <c r="G769" t="s">
        <v>10</v>
      </c>
    </row>
    <row r="770" spans="1:7" x14ac:dyDescent="0.3">
      <c r="A770" t="s">
        <v>182</v>
      </c>
      <c r="B770" t="s">
        <v>75</v>
      </c>
      <c r="C770" t="s">
        <v>13</v>
      </c>
      <c r="D770">
        <v>24</v>
      </c>
      <c r="E770">
        <v>18427</v>
      </c>
      <c r="F770">
        <v>20040</v>
      </c>
      <c r="G770" t="s">
        <v>10</v>
      </c>
    </row>
    <row r="771" spans="1:7" x14ac:dyDescent="0.3">
      <c r="A771" t="s">
        <v>142</v>
      </c>
      <c r="B771" t="s">
        <v>15</v>
      </c>
      <c r="C771" t="s">
        <v>22</v>
      </c>
      <c r="D771">
        <v>15</v>
      </c>
      <c r="E771">
        <v>20942</v>
      </c>
      <c r="F771">
        <v>23387</v>
      </c>
      <c r="G771" t="s">
        <v>10</v>
      </c>
    </row>
    <row r="772" spans="1:7" x14ac:dyDescent="0.3">
      <c r="A772" t="s">
        <v>130</v>
      </c>
      <c r="B772" t="s">
        <v>33</v>
      </c>
      <c r="C772" t="s">
        <v>13</v>
      </c>
      <c r="D772">
        <v>8</v>
      </c>
      <c r="E772">
        <v>18593</v>
      </c>
      <c r="F772">
        <v>18746</v>
      </c>
      <c r="G772" t="s">
        <v>26</v>
      </c>
    </row>
    <row r="773" spans="1:7" x14ac:dyDescent="0.3">
      <c r="A773" t="s">
        <v>148</v>
      </c>
      <c r="B773" t="s">
        <v>52</v>
      </c>
      <c r="C773" t="s">
        <v>9</v>
      </c>
      <c r="D773">
        <v>14</v>
      </c>
      <c r="E773">
        <v>15617</v>
      </c>
      <c r="F773">
        <v>22298</v>
      </c>
      <c r="G773" t="s">
        <v>26</v>
      </c>
    </row>
    <row r="774" spans="1:7" x14ac:dyDescent="0.3">
      <c r="A774" t="s">
        <v>87</v>
      </c>
      <c r="B774" t="s">
        <v>42</v>
      </c>
      <c r="C774" t="s">
        <v>13</v>
      </c>
      <c r="D774">
        <v>19</v>
      </c>
      <c r="E774">
        <v>8239</v>
      </c>
      <c r="F774">
        <v>24523</v>
      </c>
      <c r="G774" t="s">
        <v>10</v>
      </c>
    </row>
    <row r="775" spans="1:7" x14ac:dyDescent="0.3">
      <c r="A775" t="s">
        <v>87</v>
      </c>
      <c r="B775" t="s">
        <v>42</v>
      </c>
      <c r="C775" t="s">
        <v>22</v>
      </c>
      <c r="D775">
        <v>23</v>
      </c>
      <c r="E775">
        <v>14884</v>
      </c>
      <c r="F775">
        <v>10926</v>
      </c>
      <c r="G775" t="s">
        <v>10</v>
      </c>
    </row>
    <row r="776" spans="1:7" x14ac:dyDescent="0.3">
      <c r="A776" t="s">
        <v>192</v>
      </c>
      <c r="B776" t="s">
        <v>42</v>
      </c>
      <c r="C776" t="s">
        <v>13</v>
      </c>
      <c r="D776">
        <v>16</v>
      </c>
      <c r="E776">
        <v>19633</v>
      </c>
      <c r="F776">
        <v>23445</v>
      </c>
      <c r="G776" t="s">
        <v>10</v>
      </c>
    </row>
    <row r="777" spans="1:7" x14ac:dyDescent="0.3">
      <c r="A777" t="s">
        <v>149</v>
      </c>
      <c r="B777" t="s">
        <v>69</v>
      </c>
      <c r="C777" t="s">
        <v>13</v>
      </c>
      <c r="D777">
        <v>14</v>
      </c>
      <c r="E777">
        <v>22451</v>
      </c>
      <c r="F777">
        <v>18564</v>
      </c>
      <c r="G777" t="s">
        <v>10</v>
      </c>
    </row>
    <row r="778" spans="1:7" x14ac:dyDescent="0.3">
      <c r="A778" t="s">
        <v>23</v>
      </c>
      <c r="B778" t="s">
        <v>40</v>
      </c>
      <c r="C778" t="s">
        <v>9</v>
      </c>
      <c r="D778">
        <v>19</v>
      </c>
      <c r="E778">
        <v>23421</v>
      </c>
      <c r="F778">
        <v>23384</v>
      </c>
      <c r="G778" t="s">
        <v>10</v>
      </c>
    </row>
    <row r="779" spans="1:7" x14ac:dyDescent="0.3">
      <c r="A779" t="s">
        <v>18</v>
      </c>
      <c r="B779" t="s">
        <v>27</v>
      </c>
      <c r="C779" t="s">
        <v>13</v>
      </c>
      <c r="D779">
        <v>15</v>
      </c>
      <c r="E779">
        <v>28861</v>
      </c>
      <c r="F779">
        <v>13763</v>
      </c>
      <c r="G779" t="s">
        <v>10</v>
      </c>
    </row>
    <row r="780" spans="1:7" x14ac:dyDescent="0.3">
      <c r="A780" t="s">
        <v>49</v>
      </c>
      <c r="B780" t="s">
        <v>54</v>
      </c>
      <c r="C780" t="s">
        <v>22</v>
      </c>
      <c r="D780">
        <v>19</v>
      </c>
      <c r="E780">
        <v>20790</v>
      </c>
      <c r="F780">
        <v>10460</v>
      </c>
      <c r="G780" t="s">
        <v>10</v>
      </c>
    </row>
    <row r="781" spans="1:7" x14ac:dyDescent="0.3">
      <c r="A781" t="s">
        <v>124</v>
      </c>
      <c r="B781" t="s">
        <v>75</v>
      </c>
      <c r="C781" t="s">
        <v>9</v>
      </c>
      <c r="D781">
        <v>24</v>
      </c>
      <c r="E781">
        <v>27157</v>
      </c>
      <c r="F781">
        <v>10914</v>
      </c>
      <c r="G781" t="s">
        <v>10</v>
      </c>
    </row>
    <row r="782" spans="1:7" x14ac:dyDescent="0.3">
      <c r="A782" t="s">
        <v>49</v>
      </c>
      <c r="B782" t="s">
        <v>37</v>
      </c>
      <c r="C782" t="s">
        <v>13</v>
      </c>
      <c r="D782">
        <v>21</v>
      </c>
      <c r="E782">
        <v>21125</v>
      </c>
      <c r="F782">
        <v>20066</v>
      </c>
      <c r="G782" t="s">
        <v>10</v>
      </c>
    </row>
    <row r="783" spans="1:7" x14ac:dyDescent="0.3">
      <c r="A783" t="s">
        <v>89</v>
      </c>
      <c r="B783" t="s">
        <v>101</v>
      </c>
      <c r="C783" t="s">
        <v>9</v>
      </c>
      <c r="D783">
        <v>22</v>
      </c>
      <c r="E783">
        <v>5279</v>
      </c>
      <c r="F783">
        <v>19909</v>
      </c>
      <c r="G783" t="s">
        <v>10</v>
      </c>
    </row>
    <row r="784" spans="1:7" x14ac:dyDescent="0.3">
      <c r="A784" t="s">
        <v>85</v>
      </c>
      <c r="B784" t="s">
        <v>25</v>
      </c>
      <c r="C784" t="s">
        <v>22</v>
      </c>
      <c r="D784">
        <v>16</v>
      </c>
      <c r="E784">
        <v>14277</v>
      </c>
      <c r="F784">
        <v>19517</v>
      </c>
      <c r="G784" t="s">
        <v>10</v>
      </c>
    </row>
    <row r="785" spans="1:7" x14ac:dyDescent="0.3">
      <c r="A785" t="s">
        <v>143</v>
      </c>
      <c r="B785" t="s">
        <v>8</v>
      </c>
      <c r="C785" t="s">
        <v>9</v>
      </c>
      <c r="D785">
        <v>20</v>
      </c>
      <c r="E785">
        <v>17838</v>
      </c>
      <c r="F785">
        <v>15829</v>
      </c>
      <c r="G785" t="s">
        <v>10</v>
      </c>
    </row>
    <row r="786" spans="1:7" x14ac:dyDescent="0.3">
      <c r="A786" t="s">
        <v>122</v>
      </c>
      <c r="B786" t="s">
        <v>15</v>
      </c>
      <c r="C786" t="s">
        <v>9</v>
      </c>
      <c r="D786">
        <v>22</v>
      </c>
      <c r="E786">
        <v>21459</v>
      </c>
      <c r="F786">
        <v>10967</v>
      </c>
      <c r="G786" t="s">
        <v>10</v>
      </c>
    </row>
    <row r="787" spans="1:7" x14ac:dyDescent="0.3">
      <c r="A787" t="s">
        <v>127</v>
      </c>
      <c r="B787" t="s">
        <v>29</v>
      </c>
      <c r="C787" t="s">
        <v>9</v>
      </c>
      <c r="D787">
        <v>6</v>
      </c>
      <c r="E787">
        <v>15445</v>
      </c>
      <c r="F787">
        <v>16614</v>
      </c>
      <c r="G787" t="s">
        <v>10</v>
      </c>
    </row>
    <row r="788" spans="1:7" x14ac:dyDescent="0.3">
      <c r="A788" t="s">
        <v>218</v>
      </c>
      <c r="B788" t="s">
        <v>67</v>
      </c>
      <c r="C788" t="s">
        <v>22</v>
      </c>
      <c r="D788">
        <v>7</v>
      </c>
      <c r="E788">
        <v>14103</v>
      </c>
      <c r="F788">
        <v>18923</v>
      </c>
      <c r="G788" t="s">
        <v>10</v>
      </c>
    </row>
    <row r="789" spans="1:7" x14ac:dyDescent="0.3">
      <c r="A789" t="s">
        <v>192</v>
      </c>
      <c r="B789" t="s">
        <v>21</v>
      </c>
      <c r="C789" t="s">
        <v>13</v>
      </c>
      <c r="D789">
        <v>13</v>
      </c>
      <c r="E789">
        <v>11228</v>
      </c>
      <c r="F789">
        <v>22217</v>
      </c>
      <c r="G789" t="s">
        <v>26</v>
      </c>
    </row>
    <row r="790" spans="1:7" x14ac:dyDescent="0.3">
      <c r="A790" t="s">
        <v>90</v>
      </c>
      <c r="B790" t="s">
        <v>40</v>
      </c>
      <c r="C790" t="s">
        <v>22</v>
      </c>
      <c r="D790">
        <v>22</v>
      </c>
      <c r="E790">
        <v>28811</v>
      </c>
      <c r="F790">
        <v>20291</v>
      </c>
      <c r="G790" t="s">
        <v>10</v>
      </c>
    </row>
    <row r="791" spans="1:7" x14ac:dyDescent="0.3">
      <c r="A791" t="s">
        <v>30</v>
      </c>
      <c r="B791" t="s">
        <v>64</v>
      </c>
      <c r="C791" t="s">
        <v>13</v>
      </c>
      <c r="D791">
        <v>19</v>
      </c>
      <c r="E791">
        <v>19057</v>
      </c>
      <c r="F791">
        <v>22565</v>
      </c>
      <c r="G791" t="s">
        <v>10</v>
      </c>
    </row>
    <row r="792" spans="1:7" x14ac:dyDescent="0.3">
      <c r="A792" t="s">
        <v>116</v>
      </c>
      <c r="B792" t="s">
        <v>35</v>
      </c>
      <c r="C792" t="s">
        <v>22</v>
      </c>
      <c r="D792">
        <v>25</v>
      </c>
      <c r="E792">
        <v>8874</v>
      </c>
      <c r="F792">
        <v>19432</v>
      </c>
      <c r="G792" t="s">
        <v>10</v>
      </c>
    </row>
    <row r="793" spans="1:7" x14ac:dyDescent="0.3">
      <c r="A793" t="s">
        <v>104</v>
      </c>
      <c r="B793" t="s">
        <v>40</v>
      </c>
      <c r="C793" t="s">
        <v>22</v>
      </c>
      <c r="D793">
        <v>21</v>
      </c>
      <c r="E793">
        <v>10035</v>
      </c>
      <c r="F793">
        <v>14926</v>
      </c>
      <c r="G793" t="s">
        <v>10</v>
      </c>
    </row>
    <row r="794" spans="1:7" x14ac:dyDescent="0.3">
      <c r="A794" t="s">
        <v>124</v>
      </c>
      <c r="B794" t="s">
        <v>35</v>
      </c>
      <c r="C794" t="s">
        <v>9</v>
      </c>
      <c r="D794">
        <v>8</v>
      </c>
      <c r="E794">
        <v>23269</v>
      </c>
      <c r="F794">
        <v>10028</v>
      </c>
      <c r="G794" t="s">
        <v>10</v>
      </c>
    </row>
    <row r="795" spans="1:7" x14ac:dyDescent="0.3">
      <c r="A795" t="s">
        <v>150</v>
      </c>
      <c r="B795" t="s">
        <v>50</v>
      </c>
      <c r="C795" t="s">
        <v>9</v>
      </c>
      <c r="D795">
        <v>17</v>
      </c>
      <c r="E795">
        <v>7990</v>
      </c>
      <c r="F795">
        <v>13055</v>
      </c>
      <c r="G795" t="s">
        <v>10</v>
      </c>
    </row>
    <row r="796" spans="1:7" x14ac:dyDescent="0.3">
      <c r="A796" t="s">
        <v>152</v>
      </c>
      <c r="B796" t="s">
        <v>37</v>
      </c>
      <c r="C796" t="s">
        <v>13</v>
      </c>
      <c r="D796">
        <v>6</v>
      </c>
      <c r="E796">
        <v>19564</v>
      </c>
      <c r="F796">
        <v>21851</v>
      </c>
      <c r="G796" t="s">
        <v>10</v>
      </c>
    </row>
    <row r="797" spans="1:7" x14ac:dyDescent="0.3">
      <c r="A797" t="s">
        <v>63</v>
      </c>
      <c r="B797" t="s">
        <v>101</v>
      </c>
      <c r="C797" t="s">
        <v>13</v>
      </c>
      <c r="D797">
        <v>10</v>
      </c>
      <c r="E797">
        <v>10094</v>
      </c>
      <c r="F797">
        <v>21680</v>
      </c>
      <c r="G797" t="s">
        <v>10</v>
      </c>
    </row>
    <row r="798" spans="1:7" x14ac:dyDescent="0.3">
      <c r="A798" t="s">
        <v>186</v>
      </c>
      <c r="B798" t="s">
        <v>73</v>
      </c>
      <c r="C798" t="s">
        <v>22</v>
      </c>
      <c r="D798">
        <v>23</v>
      </c>
      <c r="E798">
        <v>28231</v>
      </c>
      <c r="F798">
        <v>10760</v>
      </c>
      <c r="G798" t="s">
        <v>10</v>
      </c>
    </row>
    <row r="799" spans="1:7" x14ac:dyDescent="0.3">
      <c r="A799" t="s">
        <v>55</v>
      </c>
      <c r="B799" t="s">
        <v>54</v>
      </c>
      <c r="C799" t="s">
        <v>22</v>
      </c>
      <c r="D799">
        <v>15</v>
      </c>
      <c r="E799">
        <v>15210</v>
      </c>
      <c r="F799">
        <v>13623</v>
      </c>
      <c r="G799" t="s">
        <v>10</v>
      </c>
    </row>
    <row r="800" spans="1:7" x14ac:dyDescent="0.3">
      <c r="A800" t="s">
        <v>178</v>
      </c>
      <c r="B800" t="s">
        <v>37</v>
      </c>
      <c r="C800" t="s">
        <v>9</v>
      </c>
      <c r="D800">
        <v>11</v>
      </c>
      <c r="E800">
        <v>16059</v>
      </c>
      <c r="F800">
        <v>12023</v>
      </c>
      <c r="G800" t="s">
        <v>10</v>
      </c>
    </row>
    <row r="801" spans="1:7" x14ac:dyDescent="0.3">
      <c r="A801" t="s">
        <v>192</v>
      </c>
      <c r="B801" t="s">
        <v>79</v>
      </c>
      <c r="C801" t="s">
        <v>22</v>
      </c>
      <c r="D801">
        <v>16</v>
      </c>
      <c r="E801">
        <v>28797</v>
      </c>
      <c r="F801">
        <v>22164</v>
      </c>
      <c r="G801" t="s">
        <v>26</v>
      </c>
    </row>
    <row r="802" spans="1:7" x14ac:dyDescent="0.3">
      <c r="A802" t="s">
        <v>112</v>
      </c>
      <c r="B802" t="s">
        <v>120</v>
      </c>
      <c r="C802" t="s">
        <v>22</v>
      </c>
      <c r="D802">
        <v>24</v>
      </c>
      <c r="E802">
        <v>14094</v>
      </c>
      <c r="F802">
        <v>10449</v>
      </c>
      <c r="G802" t="s">
        <v>10</v>
      </c>
    </row>
    <row r="803" spans="1:7" x14ac:dyDescent="0.3">
      <c r="A803" t="s">
        <v>61</v>
      </c>
      <c r="B803" t="s">
        <v>92</v>
      </c>
      <c r="C803" t="s">
        <v>9</v>
      </c>
      <c r="D803">
        <v>13</v>
      </c>
      <c r="E803">
        <v>20931</v>
      </c>
      <c r="F803">
        <v>13078</v>
      </c>
      <c r="G803" t="s">
        <v>26</v>
      </c>
    </row>
    <row r="804" spans="1:7" x14ac:dyDescent="0.3">
      <c r="A804" t="s">
        <v>71</v>
      </c>
      <c r="B804" t="s">
        <v>52</v>
      </c>
      <c r="C804" t="s">
        <v>13</v>
      </c>
      <c r="D804">
        <v>6</v>
      </c>
      <c r="E804">
        <v>29293</v>
      </c>
      <c r="F804">
        <v>16219</v>
      </c>
      <c r="G804" t="s">
        <v>10</v>
      </c>
    </row>
    <row r="805" spans="1:7" x14ac:dyDescent="0.3">
      <c r="A805" t="s">
        <v>83</v>
      </c>
      <c r="B805" t="s">
        <v>27</v>
      </c>
      <c r="C805" t="s">
        <v>22</v>
      </c>
      <c r="D805">
        <v>23</v>
      </c>
      <c r="E805">
        <v>14171</v>
      </c>
      <c r="F805">
        <v>22030</v>
      </c>
      <c r="G805" t="s">
        <v>10</v>
      </c>
    </row>
    <row r="806" spans="1:7" x14ac:dyDescent="0.3">
      <c r="A806" t="s">
        <v>59</v>
      </c>
      <c r="B806" t="s">
        <v>29</v>
      </c>
      <c r="C806" t="s">
        <v>9</v>
      </c>
      <c r="D806">
        <v>5</v>
      </c>
      <c r="E806">
        <v>8444</v>
      </c>
      <c r="F806">
        <v>20369</v>
      </c>
      <c r="G806" t="s">
        <v>10</v>
      </c>
    </row>
    <row r="807" spans="1:7" x14ac:dyDescent="0.3">
      <c r="A807" t="s">
        <v>49</v>
      </c>
      <c r="B807" t="s">
        <v>35</v>
      </c>
      <c r="C807" t="s">
        <v>9</v>
      </c>
      <c r="D807">
        <v>10</v>
      </c>
      <c r="E807">
        <v>25795</v>
      </c>
      <c r="F807">
        <v>11599</v>
      </c>
      <c r="G807" t="s">
        <v>10</v>
      </c>
    </row>
    <row r="808" spans="1:7" x14ac:dyDescent="0.3">
      <c r="A808" t="s">
        <v>184</v>
      </c>
      <c r="B808" t="s">
        <v>56</v>
      </c>
      <c r="C808" t="s">
        <v>22</v>
      </c>
      <c r="D808">
        <v>8</v>
      </c>
      <c r="E808">
        <v>28214</v>
      </c>
      <c r="F808">
        <v>19438</v>
      </c>
      <c r="G808" t="s">
        <v>26</v>
      </c>
    </row>
    <row r="809" spans="1:7" x14ac:dyDescent="0.3">
      <c r="A809" t="s">
        <v>115</v>
      </c>
      <c r="B809" t="s">
        <v>54</v>
      </c>
      <c r="C809" t="s">
        <v>9</v>
      </c>
      <c r="D809">
        <v>7</v>
      </c>
      <c r="E809">
        <v>17068</v>
      </c>
      <c r="F809">
        <v>21709</v>
      </c>
      <c r="G809" t="s">
        <v>10</v>
      </c>
    </row>
    <row r="810" spans="1:7" x14ac:dyDescent="0.3">
      <c r="A810" t="s">
        <v>204</v>
      </c>
      <c r="B810" t="s">
        <v>56</v>
      </c>
      <c r="C810" t="s">
        <v>9</v>
      </c>
      <c r="D810">
        <v>13</v>
      </c>
      <c r="E810">
        <v>27055</v>
      </c>
      <c r="F810">
        <v>10907</v>
      </c>
      <c r="G810" t="s">
        <v>10</v>
      </c>
    </row>
    <row r="811" spans="1:7" x14ac:dyDescent="0.3">
      <c r="A811" t="s">
        <v>143</v>
      </c>
      <c r="B811" t="s">
        <v>101</v>
      </c>
      <c r="C811" t="s">
        <v>13</v>
      </c>
      <c r="D811">
        <v>8</v>
      </c>
      <c r="E811">
        <v>10441</v>
      </c>
      <c r="F811">
        <v>19775</v>
      </c>
      <c r="G811" t="s">
        <v>10</v>
      </c>
    </row>
    <row r="812" spans="1:7" x14ac:dyDescent="0.3">
      <c r="A812" t="s">
        <v>108</v>
      </c>
      <c r="B812" t="s">
        <v>50</v>
      </c>
      <c r="C812" t="s">
        <v>22</v>
      </c>
      <c r="D812">
        <v>5</v>
      </c>
      <c r="E812">
        <v>15109</v>
      </c>
      <c r="F812">
        <v>12313</v>
      </c>
      <c r="G812" t="s">
        <v>10</v>
      </c>
    </row>
    <row r="813" spans="1:7" x14ac:dyDescent="0.3">
      <c r="A813" t="s">
        <v>152</v>
      </c>
      <c r="B813" t="s">
        <v>101</v>
      </c>
      <c r="C813" t="s">
        <v>9</v>
      </c>
      <c r="D813">
        <v>13</v>
      </c>
      <c r="E813">
        <v>25889</v>
      </c>
      <c r="F813">
        <v>17711</v>
      </c>
      <c r="G813" t="s">
        <v>26</v>
      </c>
    </row>
    <row r="814" spans="1:7" x14ac:dyDescent="0.3">
      <c r="A814" t="s">
        <v>188</v>
      </c>
      <c r="B814" t="s">
        <v>21</v>
      </c>
      <c r="C814" t="s">
        <v>13</v>
      </c>
      <c r="D814">
        <v>11</v>
      </c>
      <c r="E814">
        <v>28481</v>
      </c>
      <c r="F814">
        <v>21473</v>
      </c>
      <c r="G814" t="s">
        <v>10</v>
      </c>
    </row>
    <row r="815" spans="1:7" x14ac:dyDescent="0.3">
      <c r="A815" t="s">
        <v>59</v>
      </c>
      <c r="B815" t="s">
        <v>15</v>
      </c>
      <c r="C815" t="s">
        <v>9</v>
      </c>
      <c r="D815">
        <v>22</v>
      </c>
      <c r="E815">
        <v>22452</v>
      </c>
      <c r="F815">
        <v>17068</v>
      </c>
      <c r="G815" t="s">
        <v>10</v>
      </c>
    </row>
    <row r="816" spans="1:7" x14ac:dyDescent="0.3">
      <c r="A816" t="s">
        <v>24</v>
      </c>
      <c r="B816" t="s">
        <v>120</v>
      </c>
      <c r="C816" t="s">
        <v>22</v>
      </c>
      <c r="D816">
        <v>18</v>
      </c>
      <c r="E816">
        <v>21474</v>
      </c>
      <c r="F816">
        <v>11417</v>
      </c>
      <c r="G816" t="s">
        <v>10</v>
      </c>
    </row>
    <row r="817" spans="1:7" x14ac:dyDescent="0.3">
      <c r="A817" t="s">
        <v>95</v>
      </c>
      <c r="B817" t="s">
        <v>52</v>
      </c>
      <c r="C817" t="s">
        <v>9</v>
      </c>
      <c r="D817">
        <v>12</v>
      </c>
      <c r="E817">
        <v>19823</v>
      </c>
      <c r="F817">
        <v>19856</v>
      </c>
      <c r="G817" t="s">
        <v>10</v>
      </c>
    </row>
    <row r="818" spans="1:7" x14ac:dyDescent="0.3">
      <c r="A818" t="s">
        <v>167</v>
      </c>
      <c r="B818" t="s">
        <v>12</v>
      </c>
      <c r="C818" t="s">
        <v>13</v>
      </c>
      <c r="D818">
        <v>18</v>
      </c>
      <c r="E818">
        <v>26346</v>
      </c>
      <c r="F818">
        <v>22662</v>
      </c>
      <c r="G818" t="s">
        <v>10</v>
      </c>
    </row>
    <row r="819" spans="1:7" x14ac:dyDescent="0.3">
      <c r="A819" t="s">
        <v>45</v>
      </c>
      <c r="B819" t="s">
        <v>75</v>
      </c>
      <c r="C819" t="s">
        <v>13</v>
      </c>
      <c r="D819">
        <v>20</v>
      </c>
      <c r="E819">
        <v>13528</v>
      </c>
      <c r="F819">
        <v>17130</v>
      </c>
      <c r="G819" t="s">
        <v>26</v>
      </c>
    </row>
    <row r="820" spans="1:7" x14ac:dyDescent="0.3">
      <c r="A820" t="s">
        <v>215</v>
      </c>
      <c r="B820" t="s">
        <v>64</v>
      </c>
      <c r="C820" t="s">
        <v>13</v>
      </c>
      <c r="D820">
        <v>21</v>
      </c>
      <c r="E820">
        <v>7363</v>
      </c>
      <c r="F820">
        <v>18603</v>
      </c>
      <c r="G820" t="s">
        <v>10</v>
      </c>
    </row>
    <row r="821" spans="1:7" x14ac:dyDescent="0.3">
      <c r="A821" t="s">
        <v>44</v>
      </c>
      <c r="B821" t="s">
        <v>8</v>
      </c>
      <c r="C821" t="s">
        <v>9</v>
      </c>
      <c r="D821">
        <v>23</v>
      </c>
      <c r="E821">
        <v>15508</v>
      </c>
      <c r="F821">
        <v>19633</v>
      </c>
      <c r="G821" t="s">
        <v>10</v>
      </c>
    </row>
    <row r="822" spans="1:7" x14ac:dyDescent="0.3">
      <c r="A822" t="s">
        <v>156</v>
      </c>
      <c r="B822" t="s">
        <v>101</v>
      </c>
      <c r="C822" t="s">
        <v>9</v>
      </c>
      <c r="D822">
        <v>18</v>
      </c>
      <c r="E822">
        <v>28188</v>
      </c>
      <c r="F822">
        <v>23430</v>
      </c>
      <c r="G822" t="s">
        <v>10</v>
      </c>
    </row>
    <row r="823" spans="1:7" x14ac:dyDescent="0.3">
      <c r="A823" t="s">
        <v>76</v>
      </c>
      <c r="B823" t="s">
        <v>67</v>
      </c>
      <c r="C823" t="s">
        <v>22</v>
      </c>
      <c r="D823">
        <v>18</v>
      </c>
      <c r="E823">
        <v>17111</v>
      </c>
      <c r="F823">
        <v>20437</v>
      </c>
      <c r="G823" t="s">
        <v>10</v>
      </c>
    </row>
    <row r="824" spans="1:7" x14ac:dyDescent="0.3">
      <c r="A824" t="s">
        <v>194</v>
      </c>
      <c r="B824" t="s">
        <v>8</v>
      </c>
      <c r="C824" t="s">
        <v>13</v>
      </c>
      <c r="D824">
        <v>14</v>
      </c>
      <c r="E824">
        <v>6920</v>
      </c>
      <c r="F824">
        <v>16359</v>
      </c>
      <c r="G824" t="s">
        <v>10</v>
      </c>
    </row>
    <row r="825" spans="1:7" x14ac:dyDescent="0.3">
      <c r="A825" t="s">
        <v>209</v>
      </c>
      <c r="B825" t="s">
        <v>27</v>
      </c>
      <c r="C825" t="s">
        <v>9</v>
      </c>
      <c r="D825">
        <v>16</v>
      </c>
      <c r="E825">
        <v>5657</v>
      </c>
      <c r="F825">
        <v>12347</v>
      </c>
      <c r="G825" t="s">
        <v>10</v>
      </c>
    </row>
    <row r="826" spans="1:7" x14ac:dyDescent="0.3">
      <c r="A826" t="s">
        <v>209</v>
      </c>
      <c r="B826" t="s">
        <v>52</v>
      </c>
      <c r="C826" t="s">
        <v>22</v>
      </c>
      <c r="D826">
        <v>16</v>
      </c>
      <c r="E826">
        <v>20584</v>
      </c>
      <c r="F826">
        <v>17304</v>
      </c>
      <c r="G826" t="s">
        <v>10</v>
      </c>
    </row>
    <row r="827" spans="1:7" x14ac:dyDescent="0.3">
      <c r="A827" t="s">
        <v>114</v>
      </c>
      <c r="B827" t="s">
        <v>48</v>
      </c>
      <c r="C827" t="s">
        <v>9</v>
      </c>
      <c r="D827">
        <v>21</v>
      </c>
      <c r="E827">
        <v>20104</v>
      </c>
      <c r="F827">
        <v>14010</v>
      </c>
      <c r="G827" t="s">
        <v>10</v>
      </c>
    </row>
    <row r="828" spans="1:7" x14ac:dyDescent="0.3">
      <c r="A828" t="s">
        <v>162</v>
      </c>
      <c r="B828" t="s">
        <v>37</v>
      </c>
      <c r="C828" t="s">
        <v>9</v>
      </c>
      <c r="D828">
        <v>8</v>
      </c>
      <c r="E828">
        <v>10223</v>
      </c>
      <c r="F828">
        <v>24710</v>
      </c>
      <c r="G828" t="s">
        <v>10</v>
      </c>
    </row>
    <row r="829" spans="1:7" x14ac:dyDescent="0.3">
      <c r="A829" t="s">
        <v>185</v>
      </c>
      <c r="B829" t="s">
        <v>33</v>
      </c>
      <c r="C829" t="s">
        <v>9</v>
      </c>
      <c r="D829">
        <v>21</v>
      </c>
      <c r="E829">
        <v>29192</v>
      </c>
      <c r="F829">
        <v>19797</v>
      </c>
      <c r="G829" t="s">
        <v>10</v>
      </c>
    </row>
    <row r="830" spans="1:7" x14ac:dyDescent="0.3">
      <c r="A830" t="s">
        <v>60</v>
      </c>
      <c r="B830" t="s">
        <v>19</v>
      </c>
      <c r="C830" t="s">
        <v>9</v>
      </c>
      <c r="D830">
        <v>9</v>
      </c>
      <c r="E830">
        <v>16669</v>
      </c>
      <c r="F830">
        <v>15719</v>
      </c>
      <c r="G830" t="s">
        <v>10</v>
      </c>
    </row>
    <row r="831" spans="1:7" x14ac:dyDescent="0.3">
      <c r="A831" t="s">
        <v>146</v>
      </c>
      <c r="B831" t="s">
        <v>31</v>
      </c>
      <c r="C831" t="s">
        <v>9</v>
      </c>
      <c r="D831">
        <v>11</v>
      </c>
      <c r="E831">
        <v>12626</v>
      </c>
      <c r="F831">
        <v>24114</v>
      </c>
      <c r="G831" t="s">
        <v>10</v>
      </c>
    </row>
    <row r="832" spans="1:7" x14ac:dyDescent="0.3">
      <c r="A832" t="s">
        <v>74</v>
      </c>
      <c r="B832" t="s">
        <v>15</v>
      </c>
      <c r="C832" t="s">
        <v>9</v>
      </c>
      <c r="D832">
        <v>13</v>
      </c>
      <c r="E832">
        <v>10921</v>
      </c>
      <c r="F832">
        <v>11652</v>
      </c>
      <c r="G832" t="s">
        <v>26</v>
      </c>
    </row>
    <row r="833" spans="1:7" x14ac:dyDescent="0.3">
      <c r="A833" t="s">
        <v>119</v>
      </c>
      <c r="B833" t="s">
        <v>64</v>
      </c>
      <c r="C833" t="s">
        <v>13</v>
      </c>
      <c r="D833">
        <v>17</v>
      </c>
      <c r="E833">
        <v>20709</v>
      </c>
      <c r="F833">
        <v>12429</v>
      </c>
      <c r="G833" t="s">
        <v>10</v>
      </c>
    </row>
    <row r="834" spans="1:7" x14ac:dyDescent="0.3">
      <c r="A834" t="s">
        <v>130</v>
      </c>
      <c r="B834" t="s">
        <v>48</v>
      </c>
      <c r="C834" t="s">
        <v>22</v>
      </c>
      <c r="D834">
        <v>5</v>
      </c>
      <c r="E834">
        <v>6785</v>
      </c>
      <c r="F834">
        <v>21042</v>
      </c>
      <c r="G834" t="s">
        <v>10</v>
      </c>
    </row>
    <row r="835" spans="1:7" x14ac:dyDescent="0.3">
      <c r="A835" t="s">
        <v>215</v>
      </c>
      <c r="B835" t="s">
        <v>35</v>
      </c>
      <c r="C835" t="s">
        <v>13</v>
      </c>
      <c r="D835">
        <v>16</v>
      </c>
      <c r="E835">
        <v>22868</v>
      </c>
      <c r="F835">
        <v>24544</v>
      </c>
      <c r="G835" t="s">
        <v>10</v>
      </c>
    </row>
    <row r="836" spans="1:7" x14ac:dyDescent="0.3">
      <c r="A836" t="s">
        <v>159</v>
      </c>
      <c r="B836" t="s">
        <v>52</v>
      </c>
      <c r="C836" t="s">
        <v>13</v>
      </c>
      <c r="D836">
        <v>15</v>
      </c>
      <c r="E836">
        <v>25923</v>
      </c>
      <c r="F836">
        <v>23863</v>
      </c>
      <c r="G836" t="s">
        <v>10</v>
      </c>
    </row>
    <row r="837" spans="1:7" x14ac:dyDescent="0.3">
      <c r="A837" t="s">
        <v>181</v>
      </c>
      <c r="B837" t="s">
        <v>79</v>
      </c>
      <c r="C837" t="s">
        <v>9</v>
      </c>
      <c r="D837">
        <v>6</v>
      </c>
      <c r="E837">
        <v>15695</v>
      </c>
      <c r="F837">
        <v>18394</v>
      </c>
      <c r="G837" t="s">
        <v>10</v>
      </c>
    </row>
    <row r="838" spans="1:7" x14ac:dyDescent="0.3">
      <c r="A838" t="s">
        <v>129</v>
      </c>
      <c r="B838" t="s">
        <v>48</v>
      </c>
      <c r="C838" t="s">
        <v>9</v>
      </c>
      <c r="D838">
        <v>20</v>
      </c>
      <c r="E838">
        <v>5128</v>
      </c>
      <c r="F838">
        <v>11484</v>
      </c>
      <c r="G838" t="s">
        <v>10</v>
      </c>
    </row>
    <row r="839" spans="1:7" x14ac:dyDescent="0.3">
      <c r="A839" t="s">
        <v>57</v>
      </c>
      <c r="B839" t="s">
        <v>42</v>
      </c>
      <c r="C839" t="s">
        <v>22</v>
      </c>
      <c r="D839">
        <v>16</v>
      </c>
      <c r="E839">
        <v>21618</v>
      </c>
      <c r="F839">
        <v>11669</v>
      </c>
      <c r="G839" t="s">
        <v>10</v>
      </c>
    </row>
    <row r="840" spans="1:7" x14ac:dyDescent="0.3">
      <c r="A840" t="s">
        <v>68</v>
      </c>
      <c r="B840" t="s">
        <v>15</v>
      </c>
      <c r="C840" t="s">
        <v>9</v>
      </c>
      <c r="D840">
        <v>20</v>
      </c>
      <c r="E840">
        <v>14545</v>
      </c>
      <c r="F840">
        <v>18265</v>
      </c>
      <c r="G840" t="s">
        <v>10</v>
      </c>
    </row>
    <row r="841" spans="1:7" x14ac:dyDescent="0.3">
      <c r="A841" t="s">
        <v>162</v>
      </c>
      <c r="B841" t="s">
        <v>35</v>
      </c>
      <c r="C841" t="s">
        <v>9</v>
      </c>
      <c r="D841">
        <v>10</v>
      </c>
      <c r="E841">
        <v>21359</v>
      </c>
      <c r="F841">
        <v>11630</v>
      </c>
      <c r="G841" t="s">
        <v>10</v>
      </c>
    </row>
    <row r="842" spans="1:7" x14ac:dyDescent="0.3">
      <c r="A842" t="s">
        <v>135</v>
      </c>
      <c r="B842" t="s">
        <v>79</v>
      </c>
      <c r="C842" t="s">
        <v>13</v>
      </c>
      <c r="D842">
        <v>20</v>
      </c>
      <c r="E842">
        <v>5549</v>
      </c>
      <c r="F842">
        <v>23804</v>
      </c>
      <c r="G842" t="s">
        <v>10</v>
      </c>
    </row>
    <row r="843" spans="1:7" x14ac:dyDescent="0.3">
      <c r="A843" t="s">
        <v>95</v>
      </c>
      <c r="B843" t="s">
        <v>31</v>
      </c>
      <c r="C843" t="s">
        <v>13</v>
      </c>
      <c r="D843">
        <v>16</v>
      </c>
      <c r="E843">
        <v>14348</v>
      </c>
      <c r="F843">
        <v>18798</v>
      </c>
      <c r="G843" t="s">
        <v>26</v>
      </c>
    </row>
    <row r="844" spans="1:7" x14ac:dyDescent="0.3">
      <c r="A844" t="s">
        <v>167</v>
      </c>
      <c r="B844" t="s">
        <v>12</v>
      </c>
      <c r="C844" t="s">
        <v>22</v>
      </c>
      <c r="D844">
        <v>24</v>
      </c>
      <c r="E844">
        <v>29040</v>
      </c>
      <c r="F844">
        <v>22041</v>
      </c>
      <c r="G844" t="s">
        <v>10</v>
      </c>
    </row>
    <row r="845" spans="1:7" x14ac:dyDescent="0.3">
      <c r="A845" t="s">
        <v>121</v>
      </c>
      <c r="B845" t="s">
        <v>56</v>
      </c>
      <c r="C845" t="s">
        <v>22</v>
      </c>
      <c r="D845">
        <v>9</v>
      </c>
      <c r="E845">
        <v>29976</v>
      </c>
      <c r="F845">
        <v>11145</v>
      </c>
      <c r="G845" t="s">
        <v>10</v>
      </c>
    </row>
    <row r="846" spans="1:7" x14ac:dyDescent="0.3">
      <c r="A846" t="s">
        <v>70</v>
      </c>
      <c r="B846" t="s">
        <v>56</v>
      </c>
      <c r="C846" t="s">
        <v>9</v>
      </c>
      <c r="D846">
        <v>24</v>
      </c>
      <c r="E846">
        <v>10327</v>
      </c>
      <c r="F846">
        <v>18362</v>
      </c>
      <c r="G846" t="s">
        <v>10</v>
      </c>
    </row>
    <row r="847" spans="1:7" x14ac:dyDescent="0.3">
      <c r="A847" t="s">
        <v>183</v>
      </c>
      <c r="B847" t="s">
        <v>33</v>
      </c>
      <c r="C847" t="s">
        <v>13</v>
      </c>
      <c r="D847">
        <v>22</v>
      </c>
      <c r="E847">
        <v>29361</v>
      </c>
      <c r="F847">
        <v>23033</v>
      </c>
      <c r="G847" t="s">
        <v>10</v>
      </c>
    </row>
    <row r="848" spans="1:7" x14ac:dyDescent="0.3">
      <c r="A848" t="s">
        <v>85</v>
      </c>
      <c r="B848" t="s">
        <v>31</v>
      </c>
      <c r="C848" t="s">
        <v>13</v>
      </c>
      <c r="D848">
        <v>6</v>
      </c>
      <c r="E848">
        <v>21233</v>
      </c>
      <c r="F848">
        <v>23218</v>
      </c>
      <c r="G848" t="s">
        <v>10</v>
      </c>
    </row>
    <row r="849" spans="1:7" x14ac:dyDescent="0.3">
      <c r="A849" t="s">
        <v>7</v>
      </c>
      <c r="B849" t="s">
        <v>67</v>
      </c>
      <c r="C849" t="s">
        <v>22</v>
      </c>
      <c r="D849">
        <v>25</v>
      </c>
      <c r="E849">
        <v>21889</v>
      </c>
      <c r="F849">
        <v>21873</v>
      </c>
      <c r="G849" t="s">
        <v>26</v>
      </c>
    </row>
    <row r="850" spans="1:7" x14ac:dyDescent="0.3">
      <c r="A850" t="s">
        <v>164</v>
      </c>
      <c r="B850" t="s">
        <v>37</v>
      </c>
      <c r="C850" t="s">
        <v>13</v>
      </c>
      <c r="D850">
        <v>5</v>
      </c>
      <c r="E850">
        <v>17630</v>
      </c>
      <c r="F850">
        <v>20549</v>
      </c>
      <c r="G850" t="s">
        <v>10</v>
      </c>
    </row>
    <row r="851" spans="1:7" x14ac:dyDescent="0.3">
      <c r="A851" t="s">
        <v>74</v>
      </c>
      <c r="B851" t="s">
        <v>17</v>
      </c>
      <c r="C851" t="s">
        <v>22</v>
      </c>
      <c r="D851">
        <v>22</v>
      </c>
      <c r="E851">
        <v>15768</v>
      </c>
      <c r="F851">
        <v>15446</v>
      </c>
      <c r="G851" t="s">
        <v>10</v>
      </c>
    </row>
    <row r="852" spans="1:7" x14ac:dyDescent="0.3">
      <c r="A852" t="s">
        <v>194</v>
      </c>
      <c r="B852" t="s">
        <v>12</v>
      </c>
      <c r="C852" t="s">
        <v>22</v>
      </c>
      <c r="D852">
        <v>15</v>
      </c>
      <c r="E852">
        <v>9107</v>
      </c>
      <c r="F852">
        <v>16321</v>
      </c>
      <c r="G852" t="s">
        <v>10</v>
      </c>
    </row>
    <row r="853" spans="1:7" x14ac:dyDescent="0.3">
      <c r="A853" t="s">
        <v>55</v>
      </c>
      <c r="B853" t="s">
        <v>27</v>
      </c>
      <c r="C853" t="s">
        <v>9</v>
      </c>
      <c r="D853">
        <v>9</v>
      </c>
      <c r="E853">
        <v>12710</v>
      </c>
      <c r="F853">
        <v>13750</v>
      </c>
      <c r="G853" t="s">
        <v>10</v>
      </c>
    </row>
    <row r="854" spans="1:7" x14ac:dyDescent="0.3">
      <c r="A854" t="s">
        <v>129</v>
      </c>
      <c r="B854" t="s">
        <v>48</v>
      </c>
      <c r="C854" t="s">
        <v>13</v>
      </c>
      <c r="D854">
        <v>20</v>
      </c>
      <c r="E854">
        <v>22599</v>
      </c>
      <c r="F854">
        <v>24238</v>
      </c>
      <c r="G854" t="s">
        <v>10</v>
      </c>
    </row>
    <row r="855" spans="1:7" x14ac:dyDescent="0.3">
      <c r="A855" t="s">
        <v>61</v>
      </c>
      <c r="B855" t="s">
        <v>67</v>
      </c>
      <c r="C855" t="s">
        <v>9</v>
      </c>
      <c r="D855">
        <v>10</v>
      </c>
      <c r="E855">
        <v>9059</v>
      </c>
      <c r="F855">
        <v>18452</v>
      </c>
      <c r="G855" t="s">
        <v>10</v>
      </c>
    </row>
    <row r="856" spans="1:7" x14ac:dyDescent="0.3">
      <c r="A856" t="s">
        <v>66</v>
      </c>
      <c r="B856" t="s">
        <v>52</v>
      </c>
      <c r="C856" t="s">
        <v>22</v>
      </c>
      <c r="D856">
        <v>8</v>
      </c>
      <c r="E856">
        <v>20673</v>
      </c>
      <c r="F856">
        <v>16816</v>
      </c>
      <c r="G856" t="s">
        <v>10</v>
      </c>
    </row>
    <row r="857" spans="1:7" x14ac:dyDescent="0.3">
      <c r="A857" t="s">
        <v>157</v>
      </c>
      <c r="B857" t="s">
        <v>15</v>
      </c>
      <c r="C857" t="s">
        <v>22</v>
      </c>
      <c r="D857">
        <v>25</v>
      </c>
      <c r="E857">
        <v>27745</v>
      </c>
      <c r="F857">
        <v>21757</v>
      </c>
      <c r="G857" t="s">
        <v>10</v>
      </c>
    </row>
    <row r="858" spans="1:7" x14ac:dyDescent="0.3">
      <c r="A858" t="s">
        <v>185</v>
      </c>
      <c r="B858" t="s">
        <v>52</v>
      </c>
      <c r="C858" t="s">
        <v>9</v>
      </c>
      <c r="D858">
        <v>18</v>
      </c>
      <c r="E858">
        <v>6427</v>
      </c>
      <c r="F858">
        <v>22108</v>
      </c>
      <c r="G858" t="s">
        <v>10</v>
      </c>
    </row>
    <row r="859" spans="1:7" x14ac:dyDescent="0.3">
      <c r="A859" t="s">
        <v>145</v>
      </c>
      <c r="B859" t="s">
        <v>120</v>
      </c>
      <c r="C859" t="s">
        <v>22</v>
      </c>
      <c r="D859">
        <v>8</v>
      </c>
      <c r="E859">
        <v>20798</v>
      </c>
      <c r="F859">
        <v>21505</v>
      </c>
      <c r="G859" t="s">
        <v>10</v>
      </c>
    </row>
    <row r="860" spans="1:7" x14ac:dyDescent="0.3">
      <c r="A860" t="s">
        <v>43</v>
      </c>
      <c r="B860" t="s">
        <v>40</v>
      </c>
      <c r="C860" t="s">
        <v>22</v>
      </c>
      <c r="D860">
        <v>21</v>
      </c>
      <c r="E860">
        <v>10540</v>
      </c>
      <c r="F860">
        <v>13939</v>
      </c>
      <c r="G860" t="s">
        <v>10</v>
      </c>
    </row>
    <row r="861" spans="1:7" x14ac:dyDescent="0.3">
      <c r="A861" t="s">
        <v>30</v>
      </c>
      <c r="B861" t="s">
        <v>8</v>
      </c>
      <c r="C861" t="s">
        <v>22</v>
      </c>
      <c r="D861">
        <v>22</v>
      </c>
      <c r="E861">
        <v>16062</v>
      </c>
      <c r="F861">
        <v>24879</v>
      </c>
      <c r="G861" t="s">
        <v>26</v>
      </c>
    </row>
    <row r="862" spans="1:7" x14ac:dyDescent="0.3">
      <c r="A862" t="s">
        <v>213</v>
      </c>
      <c r="B862" t="s">
        <v>31</v>
      </c>
      <c r="C862" t="s">
        <v>13</v>
      </c>
      <c r="D862">
        <v>18</v>
      </c>
      <c r="E862">
        <v>6405</v>
      </c>
      <c r="F862">
        <v>16978</v>
      </c>
      <c r="G862" t="s">
        <v>10</v>
      </c>
    </row>
    <row r="863" spans="1:7" x14ac:dyDescent="0.3">
      <c r="A863" t="s">
        <v>118</v>
      </c>
      <c r="B863" t="s">
        <v>67</v>
      </c>
      <c r="C863" t="s">
        <v>13</v>
      </c>
      <c r="D863">
        <v>16</v>
      </c>
      <c r="E863">
        <v>14147</v>
      </c>
      <c r="F863">
        <v>21246</v>
      </c>
      <c r="G863" t="s">
        <v>26</v>
      </c>
    </row>
    <row r="864" spans="1:7" x14ac:dyDescent="0.3">
      <c r="A864" t="s">
        <v>213</v>
      </c>
      <c r="B864" t="s">
        <v>50</v>
      </c>
      <c r="C864" t="s">
        <v>9</v>
      </c>
      <c r="D864">
        <v>24</v>
      </c>
      <c r="E864">
        <v>21680</v>
      </c>
      <c r="F864">
        <v>13030</v>
      </c>
      <c r="G864" t="s">
        <v>10</v>
      </c>
    </row>
    <row r="865" spans="1:7" x14ac:dyDescent="0.3">
      <c r="A865" t="s">
        <v>155</v>
      </c>
      <c r="B865" t="s">
        <v>19</v>
      </c>
      <c r="C865" t="s">
        <v>13</v>
      </c>
      <c r="D865">
        <v>25</v>
      </c>
      <c r="E865">
        <v>8880</v>
      </c>
      <c r="F865">
        <v>11412</v>
      </c>
      <c r="G865" t="s">
        <v>10</v>
      </c>
    </row>
    <row r="866" spans="1:7" x14ac:dyDescent="0.3">
      <c r="A866" t="s">
        <v>162</v>
      </c>
      <c r="B866" t="s">
        <v>15</v>
      </c>
      <c r="C866" t="s">
        <v>13</v>
      </c>
      <c r="D866">
        <v>17</v>
      </c>
      <c r="E866">
        <v>13334</v>
      </c>
      <c r="F866">
        <v>12302</v>
      </c>
      <c r="G866" t="s">
        <v>10</v>
      </c>
    </row>
    <row r="867" spans="1:7" x14ac:dyDescent="0.3">
      <c r="A867" t="s">
        <v>103</v>
      </c>
      <c r="B867" t="s">
        <v>12</v>
      </c>
      <c r="C867" t="s">
        <v>22</v>
      </c>
      <c r="D867">
        <v>6</v>
      </c>
      <c r="E867">
        <v>18275</v>
      </c>
      <c r="F867">
        <v>17795</v>
      </c>
      <c r="G867" t="s">
        <v>10</v>
      </c>
    </row>
    <row r="868" spans="1:7" x14ac:dyDescent="0.3">
      <c r="A868" t="s">
        <v>213</v>
      </c>
      <c r="B868" t="s">
        <v>17</v>
      </c>
      <c r="C868" t="s">
        <v>9</v>
      </c>
      <c r="D868">
        <v>19</v>
      </c>
      <c r="E868">
        <v>20669</v>
      </c>
      <c r="F868">
        <v>21712</v>
      </c>
      <c r="G868" t="s">
        <v>26</v>
      </c>
    </row>
    <row r="869" spans="1:7" x14ac:dyDescent="0.3">
      <c r="A869" t="s">
        <v>88</v>
      </c>
      <c r="B869" t="s">
        <v>37</v>
      </c>
      <c r="C869" t="s">
        <v>9</v>
      </c>
      <c r="D869">
        <v>5</v>
      </c>
      <c r="E869">
        <v>16471</v>
      </c>
      <c r="F869">
        <v>24800</v>
      </c>
      <c r="G869" t="s">
        <v>10</v>
      </c>
    </row>
    <row r="870" spans="1:7" x14ac:dyDescent="0.3">
      <c r="A870" t="s">
        <v>133</v>
      </c>
      <c r="B870" t="s">
        <v>73</v>
      </c>
      <c r="C870" t="s">
        <v>22</v>
      </c>
      <c r="D870">
        <v>10</v>
      </c>
      <c r="E870">
        <v>25221</v>
      </c>
      <c r="F870">
        <v>10109</v>
      </c>
      <c r="G870" t="s">
        <v>10</v>
      </c>
    </row>
    <row r="871" spans="1:7" x14ac:dyDescent="0.3">
      <c r="A871" t="s">
        <v>78</v>
      </c>
      <c r="B871" t="s">
        <v>67</v>
      </c>
      <c r="C871" t="s">
        <v>13</v>
      </c>
      <c r="D871">
        <v>21</v>
      </c>
      <c r="E871">
        <v>22367</v>
      </c>
      <c r="F871">
        <v>22157</v>
      </c>
      <c r="G871" t="s">
        <v>10</v>
      </c>
    </row>
    <row r="872" spans="1:7" x14ac:dyDescent="0.3">
      <c r="A872" t="s">
        <v>66</v>
      </c>
      <c r="B872" t="s">
        <v>73</v>
      </c>
      <c r="C872" t="s">
        <v>9</v>
      </c>
      <c r="D872">
        <v>5</v>
      </c>
      <c r="E872">
        <v>6599</v>
      </c>
      <c r="F872">
        <v>23555</v>
      </c>
      <c r="G872" t="s">
        <v>10</v>
      </c>
    </row>
    <row r="873" spans="1:7" x14ac:dyDescent="0.3">
      <c r="A873" t="s">
        <v>186</v>
      </c>
      <c r="B873" t="s">
        <v>27</v>
      </c>
      <c r="C873" t="s">
        <v>22</v>
      </c>
      <c r="D873">
        <v>7</v>
      </c>
      <c r="E873">
        <v>28464</v>
      </c>
      <c r="F873">
        <v>17435</v>
      </c>
      <c r="G873" t="s">
        <v>10</v>
      </c>
    </row>
    <row r="874" spans="1:7" x14ac:dyDescent="0.3">
      <c r="A874" t="s">
        <v>119</v>
      </c>
      <c r="B874" t="s">
        <v>54</v>
      </c>
      <c r="C874" t="s">
        <v>22</v>
      </c>
      <c r="D874">
        <v>21</v>
      </c>
      <c r="E874">
        <v>5645</v>
      </c>
      <c r="F874">
        <v>21378</v>
      </c>
      <c r="G874" t="s">
        <v>10</v>
      </c>
    </row>
    <row r="875" spans="1:7" x14ac:dyDescent="0.3">
      <c r="A875" t="s">
        <v>82</v>
      </c>
      <c r="B875" t="s">
        <v>101</v>
      </c>
      <c r="C875" t="s">
        <v>9</v>
      </c>
      <c r="D875">
        <v>20</v>
      </c>
      <c r="E875">
        <v>19166</v>
      </c>
      <c r="F875">
        <v>19268</v>
      </c>
      <c r="G875" t="s">
        <v>10</v>
      </c>
    </row>
    <row r="876" spans="1:7" x14ac:dyDescent="0.3">
      <c r="A876" t="s">
        <v>138</v>
      </c>
      <c r="B876" t="s">
        <v>54</v>
      </c>
      <c r="C876" t="s">
        <v>13</v>
      </c>
      <c r="D876">
        <v>22</v>
      </c>
      <c r="E876">
        <v>24272</v>
      </c>
      <c r="F876">
        <v>12633</v>
      </c>
      <c r="G876" t="s">
        <v>26</v>
      </c>
    </row>
    <row r="877" spans="1:7" x14ac:dyDescent="0.3">
      <c r="A877" t="s">
        <v>55</v>
      </c>
      <c r="B877" t="s">
        <v>33</v>
      </c>
      <c r="C877" t="s">
        <v>22</v>
      </c>
      <c r="D877">
        <v>10</v>
      </c>
      <c r="E877">
        <v>8263</v>
      </c>
      <c r="F877">
        <v>23570</v>
      </c>
      <c r="G877" t="s">
        <v>10</v>
      </c>
    </row>
    <row r="878" spans="1:7" x14ac:dyDescent="0.3">
      <c r="A878" t="s">
        <v>220</v>
      </c>
      <c r="B878" t="s">
        <v>17</v>
      </c>
      <c r="C878" t="s">
        <v>9</v>
      </c>
      <c r="D878">
        <v>13</v>
      </c>
      <c r="E878">
        <v>24890</v>
      </c>
      <c r="F878">
        <v>20798</v>
      </c>
      <c r="G878" t="s">
        <v>10</v>
      </c>
    </row>
    <row r="879" spans="1:7" x14ac:dyDescent="0.3">
      <c r="A879" t="s">
        <v>60</v>
      </c>
      <c r="B879" t="s">
        <v>31</v>
      </c>
      <c r="C879" t="s">
        <v>13</v>
      </c>
      <c r="D879">
        <v>25</v>
      </c>
      <c r="E879">
        <v>19807</v>
      </c>
      <c r="F879">
        <v>24672</v>
      </c>
      <c r="G879" t="s">
        <v>10</v>
      </c>
    </row>
    <row r="880" spans="1:7" x14ac:dyDescent="0.3">
      <c r="A880" t="s">
        <v>152</v>
      </c>
      <c r="B880" t="s">
        <v>52</v>
      </c>
      <c r="C880" t="s">
        <v>22</v>
      </c>
      <c r="D880">
        <v>14</v>
      </c>
      <c r="E880">
        <v>10591</v>
      </c>
      <c r="F880">
        <v>14557</v>
      </c>
      <c r="G880" t="s">
        <v>10</v>
      </c>
    </row>
    <row r="881" spans="1:7" x14ac:dyDescent="0.3">
      <c r="A881" t="s">
        <v>113</v>
      </c>
      <c r="B881" t="s">
        <v>92</v>
      </c>
      <c r="C881" t="s">
        <v>9</v>
      </c>
      <c r="D881">
        <v>5</v>
      </c>
      <c r="E881">
        <v>9051</v>
      </c>
      <c r="F881">
        <v>24178</v>
      </c>
      <c r="G881" t="s">
        <v>10</v>
      </c>
    </row>
    <row r="882" spans="1:7" x14ac:dyDescent="0.3">
      <c r="A882" t="s">
        <v>196</v>
      </c>
      <c r="B882" t="s">
        <v>25</v>
      </c>
      <c r="C882" t="s">
        <v>9</v>
      </c>
      <c r="D882">
        <v>19</v>
      </c>
      <c r="E882">
        <v>27280</v>
      </c>
      <c r="F882">
        <v>22116</v>
      </c>
      <c r="G882" t="s">
        <v>10</v>
      </c>
    </row>
    <row r="883" spans="1:7" x14ac:dyDescent="0.3">
      <c r="A883" t="s">
        <v>34</v>
      </c>
      <c r="B883" t="s">
        <v>92</v>
      </c>
      <c r="C883" t="s">
        <v>22</v>
      </c>
      <c r="D883">
        <v>13</v>
      </c>
      <c r="E883">
        <v>16992</v>
      </c>
      <c r="F883">
        <v>11421</v>
      </c>
      <c r="G883" t="s">
        <v>10</v>
      </c>
    </row>
    <row r="884" spans="1:7" x14ac:dyDescent="0.3">
      <c r="A884" t="s">
        <v>176</v>
      </c>
      <c r="B884" t="s">
        <v>25</v>
      </c>
      <c r="C884" t="s">
        <v>13</v>
      </c>
      <c r="D884">
        <v>24</v>
      </c>
      <c r="E884">
        <v>8425</v>
      </c>
      <c r="F884">
        <v>20297</v>
      </c>
      <c r="G884" t="s">
        <v>10</v>
      </c>
    </row>
    <row r="885" spans="1:7" x14ac:dyDescent="0.3">
      <c r="A885" t="s">
        <v>61</v>
      </c>
      <c r="B885" t="s">
        <v>69</v>
      </c>
      <c r="C885" t="s">
        <v>13</v>
      </c>
      <c r="D885">
        <v>21</v>
      </c>
      <c r="E885">
        <v>28942</v>
      </c>
      <c r="F885">
        <v>20221</v>
      </c>
      <c r="G885" t="s">
        <v>10</v>
      </c>
    </row>
    <row r="886" spans="1:7" x14ac:dyDescent="0.3">
      <c r="A886" t="s">
        <v>149</v>
      </c>
      <c r="B886" t="s">
        <v>48</v>
      </c>
      <c r="C886" t="s">
        <v>13</v>
      </c>
      <c r="D886">
        <v>22</v>
      </c>
      <c r="E886">
        <v>10969</v>
      </c>
      <c r="F886">
        <v>15108</v>
      </c>
      <c r="G886" t="s">
        <v>10</v>
      </c>
    </row>
    <row r="887" spans="1:7" x14ac:dyDescent="0.3">
      <c r="A887" t="s">
        <v>34</v>
      </c>
      <c r="B887" t="s">
        <v>56</v>
      </c>
      <c r="C887" t="s">
        <v>22</v>
      </c>
      <c r="D887">
        <v>16</v>
      </c>
      <c r="E887">
        <v>23043</v>
      </c>
      <c r="F887">
        <v>17021</v>
      </c>
      <c r="G887" t="s">
        <v>10</v>
      </c>
    </row>
    <row r="888" spans="1:7" x14ac:dyDescent="0.3">
      <c r="A888" t="s">
        <v>198</v>
      </c>
      <c r="B888" t="s">
        <v>69</v>
      </c>
      <c r="C888" t="s">
        <v>9</v>
      </c>
      <c r="D888">
        <v>14</v>
      </c>
      <c r="E888">
        <v>24429</v>
      </c>
      <c r="F888">
        <v>11765</v>
      </c>
      <c r="G888" t="s">
        <v>10</v>
      </c>
    </row>
    <row r="889" spans="1:7" x14ac:dyDescent="0.3">
      <c r="A889" t="s">
        <v>165</v>
      </c>
      <c r="B889" t="s">
        <v>67</v>
      </c>
      <c r="C889" t="s">
        <v>13</v>
      </c>
      <c r="D889">
        <v>16</v>
      </c>
      <c r="E889">
        <v>13384</v>
      </c>
      <c r="F889">
        <v>17760</v>
      </c>
      <c r="G889" t="s">
        <v>10</v>
      </c>
    </row>
    <row r="890" spans="1:7" x14ac:dyDescent="0.3">
      <c r="A890" t="s">
        <v>7</v>
      </c>
      <c r="B890" t="s">
        <v>42</v>
      </c>
      <c r="C890" t="s">
        <v>22</v>
      </c>
      <c r="D890">
        <v>10</v>
      </c>
      <c r="E890">
        <v>16191</v>
      </c>
      <c r="F890">
        <v>19003</v>
      </c>
      <c r="G890" t="s">
        <v>10</v>
      </c>
    </row>
    <row r="891" spans="1:7" x14ac:dyDescent="0.3">
      <c r="A891" t="s">
        <v>30</v>
      </c>
      <c r="B891" t="s">
        <v>69</v>
      </c>
      <c r="C891" t="s">
        <v>22</v>
      </c>
      <c r="D891">
        <v>17</v>
      </c>
      <c r="E891">
        <v>10938</v>
      </c>
      <c r="F891">
        <v>12656</v>
      </c>
      <c r="G891" t="s">
        <v>10</v>
      </c>
    </row>
    <row r="892" spans="1:7" x14ac:dyDescent="0.3">
      <c r="A892" t="s">
        <v>155</v>
      </c>
      <c r="B892" t="s">
        <v>12</v>
      </c>
      <c r="C892" t="s">
        <v>13</v>
      </c>
      <c r="D892">
        <v>18</v>
      </c>
      <c r="E892">
        <v>27731</v>
      </c>
      <c r="F892">
        <v>11115</v>
      </c>
      <c r="G892" t="s">
        <v>10</v>
      </c>
    </row>
    <row r="893" spans="1:7" x14ac:dyDescent="0.3">
      <c r="A893" t="s">
        <v>220</v>
      </c>
      <c r="B893" t="s">
        <v>54</v>
      </c>
      <c r="C893" t="s">
        <v>22</v>
      </c>
      <c r="D893">
        <v>16</v>
      </c>
      <c r="E893">
        <v>18010</v>
      </c>
      <c r="F893">
        <v>24187</v>
      </c>
      <c r="G893" t="s">
        <v>10</v>
      </c>
    </row>
    <row r="894" spans="1:7" x14ac:dyDescent="0.3">
      <c r="A894" t="s">
        <v>43</v>
      </c>
      <c r="B894" t="s">
        <v>21</v>
      </c>
      <c r="C894" t="s">
        <v>9</v>
      </c>
      <c r="D894">
        <v>15</v>
      </c>
      <c r="E894">
        <v>29234</v>
      </c>
      <c r="F894">
        <v>21949</v>
      </c>
      <c r="G894" t="s">
        <v>10</v>
      </c>
    </row>
    <row r="895" spans="1:7" x14ac:dyDescent="0.3">
      <c r="A895" t="s">
        <v>130</v>
      </c>
      <c r="B895" t="s">
        <v>120</v>
      </c>
      <c r="C895" t="s">
        <v>13</v>
      </c>
      <c r="D895">
        <v>9</v>
      </c>
      <c r="E895">
        <v>24679</v>
      </c>
      <c r="F895">
        <v>11090</v>
      </c>
      <c r="G895" t="s">
        <v>10</v>
      </c>
    </row>
    <row r="896" spans="1:7" x14ac:dyDescent="0.3">
      <c r="A896" t="s">
        <v>72</v>
      </c>
      <c r="B896" t="s">
        <v>12</v>
      </c>
      <c r="C896" t="s">
        <v>22</v>
      </c>
      <c r="D896">
        <v>10</v>
      </c>
      <c r="E896">
        <v>23644</v>
      </c>
      <c r="F896">
        <v>12017</v>
      </c>
      <c r="G896" t="s">
        <v>26</v>
      </c>
    </row>
    <row r="897" spans="1:7" x14ac:dyDescent="0.3">
      <c r="A897" t="s">
        <v>210</v>
      </c>
      <c r="B897" t="s">
        <v>120</v>
      </c>
      <c r="C897" t="s">
        <v>9</v>
      </c>
      <c r="D897">
        <v>14</v>
      </c>
      <c r="E897">
        <v>7726</v>
      </c>
      <c r="F897">
        <v>17654</v>
      </c>
      <c r="G897" t="s">
        <v>10</v>
      </c>
    </row>
    <row r="898" spans="1:7" x14ac:dyDescent="0.3">
      <c r="A898" t="s">
        <v>110</v>
      </c>
      <c r="B898" t="s">
        <v>35</v>
      </c>
      <c r="C898" t="s">
        <v>22</v>
      </c>
      <c r="D898">
        <v>17</v>
      </c>
      <c r="E898">
        <v>7128</v>
      </c>
      <c r="F898">
        <v>14388</v>
      </c>
      <c r="G898" t="s">
        <v>10</v>
      </c>
    </row>
    <row r="899" spans="1:7" x14ac:dyDescent="0.3">
      <c r="A899" t="s">
        <v>94</v>
      </c>
      <c r="B899" t="s">
        <v>35</v>
      </c>
      <c r="C899" t="s">
        <v>9</v>
      </c>
      <c r="D899">
        <v>5</v>
      </c>
      <c r="E899">
        <v>16284</v>
      </c>
      <c r="F899">
        <v>13042</v>
      </c>
      <c r="G899" t="s">
        <v>10</v>
      </c>
    </row>
    <row r="900" spans="1:7" x14ac:dyDescent="0.3">
      <c r="A900" t="s">
        <v>176</v>
      </c>
      <c r="B900" t="s">
        <v>73</v>
      </c>
      <c r="C900" t="s">
        <v>13</v>
      </c>
      <c r="D900">
        <v>14</v>
      </c>
      <c r="E900">
        <v>21122</v>
      </c>
      <c r="F900">
        <v>12990</v>
      </c>
      <c r="G900" t="s">
        <v>10</v>
      </c>
    </row>
    <row r="901" spans="1:7" x14ac:dyDescent="0.3">
      <c r="A901" t="s">
        <v>99</v>
      </c>
      <c r="B901" t="s">
        <v>8</v>
      </c>
      <c r="C901" t="s">
        <v>13</v>
      </c>
      <c r="D901">
        <v>6</v>
      </c>
      <c r="E901">
        <v>29028</v>
      </c>
      <c r="F901">
        <v>12706</v>
      </c>
      <c r="G901" t="s">
        <v>10</v>
      </c>
    </row>
    <row r="902" spans="1:7" x14ac:dyDescent="0.3">
      <c r="A902" t="s">
        <v>154</v>
      </c>
      <c r="B902" t="s">
        <v>92</v>
      </c>
      <c r="C902" t="s">
        <v>22</v>
      </c>
      <c r="D902">
        <v>15</v>
      </c>
      <c r="E902">
        <v>13529</v>
      </c>
      <c r="F902">
        <v>21636</v>
      </c>
      <c r="G902" t="s">
        <v>10</v>
      </c>
    </row>
    <row r="903" spans="1:7" x14ac:dyDescent="0.3">
      <c r="A903" t="s">
        <v>122</v>
      </c>
      <c r="B903" t="s">
        <v>40</v>
      </c>
      <c r="C903" t="s">
        <v>9</v>
      </c>
      <c r="D903">
        <v>20</v>
      </c>
      <c r="E903">
        <v>8921</v>
      </c>
      <c r="F903">
        <v>19845</v>
      </c>
      <c r="G903" t="s">
        <v>10</v>
      </c>
    </row>
    <row r="904" spans="1:7" x14ac:dyDescent="0.3">
      <c r="A904" t="s">
        <v>217</v>
      </c>
      <c r="B904" t="s">
        <v>31</v>
      </c>
      <c r="C904" t="s">
        <v>13</v>
      </c>
      <c r="D904">
        <v>17</v>
      </c>
      <c r="E904">
        <v>14204</v>
      </c>
      <c r="F904">
        <v>24752</v>
      </c>
      <c r="G904" t="s">
        <v>26</v>
      </c>
    </row>
    <row r="905" spans="1:7" x14ac:dyDescent="0.3">
      <c r="A905" t="s">
        <v>99</v>
      </c>
      <c r="B905" t="s">
        <v>52</v>
      </c>
      <c r="C905" t="s">
        <v>22</v>
      </c>
      <c r="D905">
        <v>13</v>
      </c>
      <c r="E905">
        <v>23475</v>
      </c>
      <c r="F905">
        <v>14997</v>
      </c>
      <c r="G905" t="s">
        <v>10</v>
      </c>
    </row>
    <row r="906" spans="1:7" x14ac:dyDescent="0.3">
      <c r="A906" t="s">
        <v>98</v>
      </c>
      <c r="B906" t="s">
        <v>92</v>
      </c>
      <c r="C906" t="s">
        <v>9</v>
      </c>
      <c r="D906">
        <v>19</v>
      </c>
      <c r="E906">
        <v>21708</v>
      </c>
      <c r="F906">
        <v>16853</v>
      </c>
      <c r="G906" t="s">
        <v>10</v>
      </c>
    </row>
    <row r="907" spans="1:7" x14ac:dyDescent="0.3">
      <c r="A907" t="s">
        <v>207</v>
      </c>
      <c r="B907" t="s">
        <v>33</v>
      </c>
      <c r="C907" t="s">
        <v>22</v>
      </c>
      <c r="D907">
        <v>25</v>
      </c>
      <c r="E907">
        <v>20392</v>
      </c>
      <c r="F907">
        <v>20785</v>
      </c>
      <c r="G907" t="s">
        <v>10</v>
      </c>
    </row>
    <row r="908" spans="1:7" x14ac:dyDescent="0.3">
      <c r="A908" t="s">
        <v>150</v>
      </c>
      <c r="B908" t="s">
        <v>69</v>
      </c>
      <c r="C908" t="s">
        <v>13</v>
      </c>
      <c r="D908">
        <v>17</v>
      </c>
      <c r="E908">
        <v>14453</v>
      </c>
      <c r="F908">
        <v>19270</v>
      </c>
      <c r="G908" t="s">
        <v>10</v>
      </c>
    </row>
    <row r="909" spans="1:7" x14ac:dyDescent="0.3">
      <c r="A909" t="s">
        <v>136</v>
      </c>
      <c r="B909" t="s">
        <v>40</v>
      </c>
      <c r="C909" t="s">
        <v>9</v>
      </c>
      <c r="D909">
        <v>25</v>
      </c>
      <c r="E909">
        <v>11932</v>
      </c>
      <c r="F909">
        <v>10708</v>
      </c>
      <c r="G909" t="s">
        <v>10</v>
      </c>
    </row>
    <row r="910" spans="1:7" x14ac:dyDescent="0.3">
      <c r="A910" t="s">
        <v>160</v>
      </c>
      <c r="B910" t="s">
        <v>75</v>
      </c>
      <c r="C910" t="s">
        <v>22</v>
      </c>
      <c r="D910">
        <v>20</v>
      </c>
      <c r="E910">
        <v>12007</v>
      </c>
      <c r="F910">
        <v>10988</v>
      </c>
      <c r="G910" t="s">
        <v>10</v>
      </c>
    </row>
    <row r="911" spans="1:7" x14ac:dyDescent="0.3">
      <c r="A911" t="s">
        <v>184</v>
      </c>
      <c r="B911" t="s">
        <v>29</v>
      </c>
      <c r="C911" t="s">
        <v>22</v>
      </c>
      <c r="D911">
        <v>11</v>
      </c>
      <c r="E911">
        <v>9931</v>
      </c>
      <c r="F911">
        <v>10798</v>
      </c>
      <c r="G911" t="s">
        <v>10</v>
      </c>
    </row>
    <row r="912" spans="1:7" x14ac:dyDescent="0.3">
      <c r="A912" t="s">
        <v>178</v>
      </c>
      <c r="B912" t="s">
        <v>8</v>
      </c>
      <c r="C912" t="s">
        <v>9</v>
      </c>
      <c r="D912">
        <v>5</v>
      </c>
      <c r="E912">
        <v>10886</v>
      </c>
      <c r="F912">
        <v>24173</v>
      </c>
      <c r="G912" t="s">
        <v>26</v>
      </c>
    </row>
    <row r="913" spans="1:7" x14ac:dyDescent="0.3">
      <c r="A913" t="s">
        <v>168</v>
      </c>
      <c r="B913" t="s">
        <v>8</v>
      </c>
      <c r="C913" t="s">
        <v>9</v>
      </c>
      <c r="D913">
        <v>10</v>
      </c>
      <c r="E913">
        <v>16618</v>
      </c>
      <c r="F913">
        <v>21666</v>
      </c>
      <c r="G913" t="s">
        <v>10</v>
      </c>
    </row>
    <row r="914" spans="1:7" x14ac:dyDescent="0.3">
      <c r="A914" t="s">
        <v>93</v>
      </c>
      <c r="B914" t="s">
        <v>19</v>
      </c>
      <c r="C914" t="s">
        <v>9</v>
      </c>
      <c r="D914">
        <v>19</v>
      </c>
      <c r="E914">
        <v>15365</v>
      </c>
      <c r="F914">
        <v>13106</v>
      </c>
      <c r="G914" t="s">
        <v>10</v>
      </c>
    </row>
    <row r="915" spans="1:7" x14ac:dyDescent="0.3">
      <c r="A915" t="s">
        <v>23</v>
      </c>
      <c r="B915" t="s">
        <v>33</v>
      </c>
      <c r="C915" t="s">
        <v>13</v>
      </c>
      <c r="D915">
        <v>19</v>
      </c>
      <c r="E915">
        <v>10150</v>
      </c>
      <c r="F915">
        <v>12798</v>
      </c>
      <c r="G915" t="s">
        <v>10</v>
      </c>
    </row>
    <row r="916" spans="1:7" x14ac:dyDescent="0.3">
      <c r="A916" t="s">
        <v>70</v>
      </c>
      <c r="B916" t="s">
        <v>54</v>
      </c>
      <c r="C916" t="s">
        <v>22</v>
      </c>
      <c r="D916">
        <v>13</v>
      </c>
      <c r="E916">
        <v>14119</v>
      </c>
      <c r="F916">
        <v>19217</v>
      </c>
      <c r="G916" t="s">
        <v>10</v>
      </c>
    </row>
    <row r="917" spans="1:7" x14ac:dyDescent="0.3">
      <c r="A917" t="s">
        <v>203</v>
      </c>
      <c r="B917" t="s">
        <v>79</v>
      </c>
      <c r="C917" t="s">
        <v>13</v>
      </c>
      <c r="D917">
        <v>23</v>
      </c>
      <c r="E917">
        <v>17908</v>
      </c>
      <c r="F917">
        <v>22231</v>
      </c>
      <c r="G917" t="s">
        <v>10</v>
      </c>
    </row>
    <row r="918" spans="1:7" x14ac:dyDescent="0.3">
      <c r="A918" t="s">
        <v>90</v>
      </c>
      <c r="B918" t="s">
        <v>48</v>
      </c>
      <c r="C918" t="s">
        <v>13</v>
      </c>
      <c r="D918">
        <v>10</v>
      </c>
      <c r="E918">
        <v>10700</v>
      </c>
      <c r="F918">
        <v>15740</v>
      </c>
      <c r="G918" t="s">
        <v>10</v>
      </c>
    </row>
    <row r="919" spans="1:7" x14ac:dyDescent="0.3">
      <c r="A919" t="s">
        <v>55</v>
      </c>
      <c r="B919" t="s">
        <v>15</v>
      </c>
      <c r="C919" t="s">
        <v>22</v>
      </c>
      <c r="D919">
        <v>23</v>
      </c>
      <c r="E919">
        <v>25465</v>
      </c>
      <c r="F919">
        <v>16340</v>
      </c>
      <c r="G919" t="s">
        <v>10</v>
      </c>
    </row>
    <row r="920" spans="1:7" x14ac:dyDescent="0.3">
      <c r="A920" t="s">
        <v>209</v>
      </c>
      <c r="B920" t="s">
        <v>21</v>
      </c>
      <c r="C920" t="s">
        <v>9</v>
      </c>
      <c r="D920">
        <v>6</v>
      </c>
      <c r="E920">
        <v>26064</v>
      </c>
      <c r="F920">
        <v>13690</v>
      </c>
      <c r="G920" t="s">
        <v>10</v>
      </c>
    </row>
    <row r="921" spans="1:7" x14ac:dyDescent="0.3">
      <c r="A921" t="s">
        <v>47</v>
      </c>
      <c r="B921" t="s">
        <v>69</v>
      </c>
      <c r="C921" t="s">
        <v>9</v>
      </c>
      <c r="D921">
        <v>11</v>
      </c>
      <c r="E921">
        <v>20651</v>
      </c>
      <c r="F921">
        <v>12654</v>
      </c>
      <c r="G921" t="s">
        <v>10</v>
      </c>
    </row>
    <row r="922" spans="1:7" x14ac:dyDescent="0.3">
      <c r="A922" t="s">
        <v>80</v>
      </c>
      <c r="B922" t="s">
        <v>37</v>
      </c>
      <c r="C922" t="s">
        <v>22</v>
      </c>
      <c r="D922">
        <v>25</v>
      </c>
      <c r="E922">
        <v>25440</v>
      </c>
      <c r="F922">
        <v>10762</v>
      </c>
      <c r="G922" t="s">
        <v>10</v>
      </c>
    </row>
    <row r="923" spans="1:7" x14ac:dyDescent="0.3">
      <c r="A923" t="s">
        <v>193</v>
      </c>
      <c r="B923" t="s">
        <v>50</v>
      </c>
      <c r="C923" t="s">
        <v>22</v>
      </c>
      <c r="D923">
        <v>16</v>
      </c>
      <c r="E923">
        <v>12765</v>
      </c>
      <c r="F923">
        <v>21895</v>
      </c>
      <c r="G923" t="s">
        <v>10</v>
      </c>
    </row>
    <row r="924" spans="1:7" x14ac:dyDescent="0.3">
      <c r="A924" t="s">
        <v>221</v>
      </c>
      <c r="B924" t="s">
        <v>35</v>
      </c>
      <c r="C924" t="s">
        <v>22</v>
      </c>
      <c r="D924">
        <v>14</v>
      </c>
      <c r="E924">
        <v>15600</v>
      </c>
      <c r="F924">
        <v>22574</v>
      </c>
      <c r="G924" t="s">
        <v>10</v>
      </c>
    </row>
    <row r="925" spans="1:7" x14ac:dyDescent="0.3">
      <c r="A925" t="s">
        <v>119</v>
      </c>
      <c r="B925" t="s">
        <v>31</v>
      </c>
      <c r="C925" t="s">
        <v>13</v>
      </c>
      <c r="D925">
        <v>11</v>
      </c>
      <c r="E925">
        <v>10397</v>
      </c>
      <c r="F925">
        <v>18740</v>
      </c>
      <c r="G925" t="s">
        <v>10</v>
      </c>
    </row>
    <row r="926" spans="1:7" x14ac:dyDescent="0.3">
      <c r="A926" t="s">
        <v>123</v>
      </c>
      <c r="B926" t="s">
        <v>31</v>
      </c>
      <c r="C926" t="s">
        <v>13</v>
      </c>
      <c r="D926">
        <v>25</v>
      </c>
      <c r="E926">
        <v>17652</v>
      </c>
      <c r="F926">
        <v>19995</v>
      </c>
      <c r="G926" t="s">
        <v>10</v>
      </c>
    </row>
    <row r="927" spans="1:7" x14ac:dyDescent="0.3">
      <c r="A927" t="s">
        <v>134</v>
      </c>
      <c r="B927" t="s">
        <v>12</v>
      </c>
      <c r="C927" t="s">
        <v>13</v>
      </c>
      <c r="D927">
        <v>6</v>
      </c>
      <c r="E927">
        <v>21218</v>
      </c>
      <c r="F927">
        <v>12182</v>
      </c>
      <c r="G927" t="s">
        <v>10</v>
      </c>
    </row>
    <row r="928" spans="1:7" x14ac:dyDescent="0.3">
      <c r="A928" t="s">
        <v>161</v>
      </c>
      <c r="B928" t="s">
        <v>101</v>
      </c>
      <c r="C928" t="s">
        <v>13</v>
      </c>
      <c r="D928">
        <v>19</v>
      </c>
      <c r="E928">
        <v>27298</v>
      </c>
      <c r="F928">
        <v>12750</v>
      </c>
      <c r="G928" t="s">
        <v>10</v>
      </c>
    </row>
    <row r="929" spans="1:7" x14ac:dyDescent="0.3">
      <c r="A929" t="s">
        <v>217</v>
      </c>
      <c r="B929" t="s">
        <v>52</v>
      </c>
      <c r="C929" t="s">
        <v>22</v>
      </c>
      <c r="D929">
        <v>19</v>
      </c>
      <c r="E929">
        <v>26922</v>
      </c>
      <c r="F929">
        <v>15918</v>
      </c>
      <c r="G929" t="s">
        <v>10</v>
      </c>
    </row>
    <row r="930" spans="1:7" x14ac:dyDescent="0.3">
      <c r="A930" t="s">
        <v>90</v>
      </c>
      <c r="B930" t="s">
        <v>54</v>
      </c>
      <c r="C930" t="s">
        <v>9</v>
      </c>
      <c r="D930">
        <v>20</v>
      </c>
      <c r="E930">
        <v>21315</v>
      </c>
      <c r="F930">
        <v>13582</v>
      </c>
      <c r="G930" t="s">
        <v>10</v>
      </c>
    </row>
    <row r="931" spans="1:7" x14ac:dyDescent="0.3">
      <c r="A931" t="s">
        <v>136</v>
      </c>
      <c r="B931" t="s">
        <v>15</v>
      </c>
      <c r="C931" t="s">
        <v>13</v>
      </c>
      <c r="D931">
        <v>22</v>
      </c>
      <c r="E931">
        <v>12099</v>
      </c>
      <c r="F931">
        <v>22746</v>
      </c>
      <c r="G931" t="s">
        <v>10</v>
      </c>
    </row>
    <row r="932" spans="1:7" x14ac:dyDescent="0.3">
      <c r="A932" t="s">
        <v>128</v>
      </c>
      <c r="B932" t="s">
        <v>48</v>
      </c>
      <c r="C932" t="s">
        <v>9</v>
      </c>
      <c r="D932">
        <v>9</v>
      </c>
      <c r="E932">
        <v>8853</v>
      </c>
      <c r="F932">
        <v>23600</v>
      </c>
      <c r="G932" t="s">
        <v>10</v>
      </c>
    </row>
    <row r="933" spans="1:7" x14ac:dyDescent="0.3">
      <c r="A933" t="s">
        <v>203</v>
      </c>
      <c r="B933" t="s">
        <v>46</v>
      </c>
      <c r="C933" t="s">
        <v>13</v>
      </c>
      <c r="D933">
        <v>18</v>
      </c>
      <c r="E933">
        <v>13530</v>
      </c>
      <c r="F933">
        <v>12913</v>
      </c>
      <c r="G933" t="s">
        <v>10</v>
      </c>
    </row>
    <row r="934" spans="1:7" x14ac:dyDescent="0.3">
      <c r="A934" t="s">
        <v>49</v>
      </c>
      <c r="B934" t="s">
        <v>31</v>
      </c>
      <c r="C934" t="s">
        <v>13</v>
      </c>
      <c r="D934">
        <v>5</v>
      </c>
      <c r="E934">
        <v>24545</v>
      </c>
      <c r="F934">
        <v>10599</v>
      </c>
      <c r="G934" t="s">
        <v>10</v>
      </c>
    </row>
    <row r="935" spans="1:7" x14ac:dyDescent="0.3">
      <c r="A935" t="s">
        <v>142</v>
      </c>
      <c r="B935" t="s">
        <v>27</v>
      </c>
      <c r="C935" t="s">
        <v>9</v>
      </c>
      <c r="D935">
        <v>11</v>
      </c>
      <c r="E935">
        <v>7497</v>
      </c>
      <c r="F935">
        <v>12343</v>
      </c>
      <c r="G935" t="s">
        <v>10</v>
      </c>
    </row>
    <row r="936" spans="1:7" x14ac:dyDescent="0.3">
      <c r="A936" t="s">
        <v>49</v>
      </c>
      <c r="B936" t="s">
        <v>79</v>
      </c>
      <c r="C936" t="s">
        <v>13</v>
      </c>
      <c r="D936">
        <v>8</v>
      </c>
      <c r="E936">
        <v>25175</v>
      </c>
      <c r="F936">
        <v>18404</v>
      </c>
      <c r="G936" t="s">
        <v>10</v>
      </c>
    </row>
    <row r="937" spans="1:7" x14ac:dyDescent="0.3">
      <c r="A937" t="s">
        <v>95</v>
      </c>
      <c r="B937" t="s">
        <v>52</v>
      </c>
      <c r="C937" t="s">
        <v>9</v>
      </c>
      <c r="D937">
        <v>21</v>
      </c>
      <c r="E937">
        <v>8319</v>
      </c>
      <c r="F937">
        <v>24000</v>
      </c>
      <c r="G937" t="s">
        <v>10</v>
      </c>
    </row>
    <row r="938" spans="1:7" x14ac:dyDescent="0.3">
      <c r="A938" t="s">
        <v>189</v>
      </c>
      <c r="B938" t="s">
        <v>27</v>
      </c>
      <c r="C938" t="s">
        <v>22</v>
      </c>
      <c r="D938">
        <v>23</v>
      </c>
      <c r="E938">
        <v>5429</v>
      </c>
      <c r="F938">
        <v>19902</v>
      </c>
      <c r="G938" t="s">
        <v>26</v>
      </c>
    </row>
    <row r="939" spans="1:7" x14ac:dyDescent="0.3">
      <c r="A939" t="s">
        <v>175</v>
      </c>
      <c r="B939" t="s">
        <v>46</v>
      </c>
      <c r="C939" t="s">
        <v>13</v>
      </c>
      <c r="D939">
        <v>23</v>
      </c>
      <c r="E939">
        <v>20847</v>
      </c>
      <c r="F939">
        <v>15996</v>
      </c>
      <c r="G939" t="s">
        <v>10</v>
      </c>
    </row>
    <row r="940" spans="1:7" x14ac:dyDescent="0.3">
      <c r="A940" t="s">
        <v>63</v>
      </c>
      <c r="B940" t="s">
        <v>19</v>
      </c>
      <c r="C940" t="s">
        <v>22</v>
      </c>
      <c r="D940">
        <v>8</v>
      </c>
      <c r="E940">
        <v>9802</v>
      </c>
      <c r="F940">
        <v>10719</v>
      </c>
      <c r="G940" t="s">
        <v>10</v>
      </c>
    </row>
    <row r="941" spans="1:7" x14ac:dyDescent="0.3">
      <c r="A941" t="s">
        <v>201</v>
      </c>
      <c r="B941" t="s">
        <v>73</v>
      </c>
      <c r="C941" t="s">
        <v>22</v>
      </c>
      <c r="D941">
        <v>10</v>
      </c>
      <c r="E941">
        <v>19549</v>
      </c>
      <c r="F941">
        <v>16776</v>
      </c>
      <c r="G941" t="s">
        <v>26</v>
      </c>
    </row>
    <row r="942" spans="1:7" x14ac:dyDescent="0.3">
      <c r="A942" t="s">
        <v>164</v>
      </c>
      <c r="B942" t="s">
        <v>12</v>
      </c>
      <c r="C942" t="s">
        <v>13</v>
      </c>
      <c r="D942">
        <v>22</v>
      </c>
      <c r="E942">
        <v>25769</v>
      </c>
      <c r="F942">
        <v>10842</v>
      </c>
      <c r="G942" t="s">
        <v>10</v>
      </c>
    </row>
    <row r="943" spans="1:7" x14ac:dyDescent="0.3">
      <c r="A943" t="s">
        <v>71</v>
      </c>
      <c r="B943" t="s">
        <v>73</v>
      </c>
      <c r="C943" t="s">
        <v>13</v>
      </c>
      <c r="D943">
        <v>14</v>
      </c>
      <c r="E943">
        <v>7102</v>
      </c>
      <c r="F943">
        <v>16568</v>
      </c>
      <c r="G943" t="s">
        <v>10</v>
      </c>
    </row>
    <row r="944" spans="1:7" x14ac:dyDescent="0.3">
      <c r="A944" t="s">
        <v>142</v>
      </c>
      <c r="B944" t="s">
        <v>120</v>
      </c>
      <c r="C944" t="s">
        <v>13</v>
      </c>
      <c r="D944">
        <v>16</v>
      </c>
      <c r="E944">
        <v>27339</v>
      </c>
      <c r="F944">
        <v>12813</v>
      </c>
      <c r="G944" t="s">
        <v>10</v>
      </c>
    </row>
    <row r="945" spans="1:7" x14ac:dyDescent="0.3">
      <c r="A945" t="s">
        <v>148</v>
      </c>
      <c r="B945" t="s">
        <v>92</v>
      </c>
      <c r="C945" t="s">
        <v>22</v>
      </c>
      <c r="D945">
        <v>12</v>
      </c>
      <c r="E945">
        <v>16913</v>
      </c>
      <c r="F945">
        <v>10487</v>
      </c>
      <c r="G945" t="s">
        <v>26</v>
      </c>
    </row>
    <row r="946" spans="1:7" x14ac:dyDescent="0.3">
      <c r="A946" t="s">
        <v>97</v>
      </c>
      <c r="B946" t="s">
        <v>50</v>
      </c>
      <c r="C946" t="s">
        <v>9</v>
      </c>
      <c r="D946">
        <v>6</v>
      </c>
      <c r="E946">
        <v>18140</v>
      </c>
      <c r="F946">
        <v>12726</v>
      </c>
      <c r="G946" t="s">
        <v>10</v>
      </c>
    </row>
    <row r="947" spans="1:7" x14ac:dyDescent="0.3">
      <c r="A947" t="s">
        <v>11</v>
      </c>
      <c r="B947" t="s">
        <v>31</v>
      </c>
      <c r="C947" t="s">
        <v>22</v>
      </c>
      <c r="D947">
        <v>24</v>
      </c>
      <c r="E947">
        <v>13567</v>
      </c>
      <c r="F947">
        <v>11575</v>
      </c>
      <c r="G947" t="s">
        <v>10</v>
      </c>
    </row>
    <row r="948" spans="1:7" x14ac:dyDescent="0.3">
      <c r="A948" t="s">
        <v>116</v>
      </c>
      <c r="B948" t="s">
        <v>69</v>
      </c>
      <c r="C948" t="s">
        <v>22</v>
      </c>
      <c r="D948">
        <v>22</v>
      </c>
      <c r="E948">
        <v>23201</v>
      </c>
      <c r="F948">
        <v>13729</v>
      </c>
      <c r="G948" t="s">
        <v>10</v>
      </c>
    </row>
    <row r="949" spans="1:7" x14ac:dyDescent="0.3">
      <c r="A949" t="s">
        <v>180</v>
      </c>
      <c r="B949" t="s">
        <v>79</v>
      </c>
      <c r="C949" t="s">
        <v>22</v>
      </c>
      <c r="D949">
        <v>6</v>
      </c>
      <c r="E949">
        <v>14399</v>
      </c>
      <c r="F949">
        <v>23026</v>
      </c>
      <c r="G949" t="s">
        <v>10</v>
      </c>
    </row>
    <row r="950" spans="1:7" x14ac:dyDescent="0.3">
      <c r="A950" t="s">
        <v>220</v>
      </c>
      <c r="B950" t="s">
        <v>27</v>
      </c>
      <c r="C950" t="s">
        <v>9</v>
      </c>
      <c r="D950">
        <v>20</v>
      </c>
      <c r="E950">
        <v>15614</v>
      </c>
      <c r="F950">
        <v>15015</v>
      </c>
      <c r="G950" t="s">
        <v>10</v>
      </c>
    </row>
    <row r="951" spans="1:7" x14ac:dyDescent="0.3">
      <c r="A951" t="s">
        <v>96</v>
      </c>
      <c r="B951" t="s">
        <v>19</v>
      </c>
      <c r="C951" t="s">
        <v>22</v>
      </c>
      <c r="D951">
        <v>24</v>
      </c>
      <c r="E951">
        <v>10709</v>
      </c>
      <c r="F951">
        <v>12067</v>
      </c>
      <c r="G951" t="s">
        <v>10</v>
      </c>
    </row>
    <row r="952" spans="1:7" x14ac:dyDescent="0.3">
      <c r="A952" t="s">
        <v>116</v>
      </c>
      <c r="B952" t="s">
        <v>8</v>
      </c>
      <c r="C952" t="s">
        <v>22</v>
      </c>
      <c r="D952">
        <v>13</v>
      </c>
      <c r="E952">
        <v>11697</v>
      </c>
      <c r="F952">
        <v>12462</v>
      </c>
      <c r="G952" t="s">
        <v>10</v>
      </c>
    </row>
    <row r="953" spans="1:7" x14ac:dyDescent="0.3">
      <c r="A953" t="s">
        <v>14</v>
      </c>
      <c r="B953" t="s">
        <v>120</v>
      </c>
      <c r="C953" t="s">
        <v>13</v>
      </c>
      <c r="D953">
        <v>12</v>
      </c>
      <c r="E953">
        <v>18778</v>
      </c>
      <c r="F953">
        <v>21226</v>
      </c>
      <c r="G953" t="s">
        <v>10</v>
      </c>
    </row>
    <row r="954" spans="1:7" x14ac:dyDescent="0.3">
      <c r="A954" t="s">
        <v>157</v>
      </c>
      <c r="B954" t="s">
        <v>12</v>
      </c>
      <c r="C954" t="s">
        <v>22</v>
      </c>
      <c r="D954">
        <v>24</v>
      </c>
      <c r="E954">
        <v>20388</v>
      </c>
      <c r="F954">
        <v>22341</v>
      </c>
      <c r="G954" t="s">
        <v>10</v>
      </c>
    </row>
    <row r="955" spans="1:7" x14ac:dyDescent="0.3">
      <c r="A955" t="s">
        <v>53</v>
      </c>
      <c r="B955" t="s">
        <v>120</v>
      </c>
      <c r="C955" t="s">
        <v>13</v>
      </c>
      <c r="D955">
        <v>7</v>
      </c>
      <c r="E955">
        <v>18353</v>
      </c>
      <c r="F955">
        <v>24515</v>
      </c>
      <c r="G955" t="s">
        <v>10</v>
      </c>
    </row>
    <row r="956" spans="1:7" x14ac:dyDescent="0.3">
      <c r="A956" t="s">
        <v>191</v>
      </c>
      <c r="B956" t="s">
        <v>29</v>
      </c>
      <c r="C956" t="s">
        <v>22</v>
      </c>
      <c r="D956">
        <v>23</v>
      </c>
      <c r="E956">
        <v>18926</v>
      </c>
      <c r="F956">
        <v>22583</v>
      </c>
      <c r="G956" t="s">
        <v>10</v>
      </c>
    </row>
    <row r="957" spans="1:7" x14ac:dyDescent="0.3">
      <c r="A957" t="s">
        <v>11</v>
      </c>
      <c r="B957" t="s">
        <v>33</v>
      </c>
      <c r="C957" t="s">
        <v>9</v>
      </c>
      <c r="D957">
        <v>19</v>
      </c>
      <c r="E957">
        <v>6709</v>
      </c>
      <c r="F957">
        <v>20226</v>
      </c>
      <c r="G957" t="s">
        <v>10</v>
      </c>
    </row>
    <row r="958" spans="1:7" x14ac:dyDescent="0.3">
      <c r="A958" t="s">
        <v>53</v>
      </c>
      <c r="B958" t="s">
        <v>52</v>
      </c>
      <c r="C958" t="s">
        <v>22</v>
      </c>
      <c r="D958">
        <v>9</v>
      </c>
      <c r="E958">
        <v>15875</v>
      </c>
      <c r="F958">
        <v>16814</v>
      </c>
      <c r="G958" t="s">
        <v>26</v>
      </c>
    </row>
    <row r="959" spans="1:7" x14ac:dyDescent="0.3">
      <c r="A959" t="s">
        <v>65</v>
      </c>
      <c r="B959" t="s">
        <v>120</v>
      </c>
      <c r="C959" t="s">
        <v>22</v>
      </c>
      <c r="D959">
        <v>15</v>
      </c>
      <c r="E959">
        <v>26304</v>
      </c>
      <c r="F959">
        <v>10257</v>
      </c>
      <c r="G959" t="s">
        <v>10</v>
      </c>
    </row>
    <row r="960" spans="1:7" x14ac:dyDescent="0.3">
      <c r="A960" t="s">
        <v>38</v>
      </c>
      <c r="B960" t="s">
        <v>40</v>
      </c>
      <c r="C960" t="s">
        <v>9</v>
      </c>
      <c r="D960">
        <v>18</v>
      </c>
      <c r="E960">
        <v>29283</v>
      </c>
      <c r="F960">
        <v>24994</v>
      </c>
      <c r="G960" t="s">
        <v>10</v>
      </c>
    </row>
    <row r="961" spans="1:7" x14ac:dyDescent="0.3">
      <c r="A961" t="s">
        <v>130</v>
      </c>
      <c r="B961" t="s">
        <v>64</v>
      </c>
      <c r="C961" t="s">
        <v>22</v>
      </c>
      <c r="D961">
        <v>10</v>
      </c>
      <c r="E961">
        <v>15136</v>
      </c>
      <c r="F961">
        <v>15249</v>
      </c>
      <c r="G961" t="s">
        <v>10</v>
      </c>
    </row>
    <row r="962" spans="1:7" x14ac:dyDescent="0.3">
      <c r="A962" t="s">
        <v>210</v>
      </c>
      <c r="B962" t="s">
        <v>79</v>
      </c>
      <c r="C962" t="s">
        <v>13</v>
      </c>
      <c r="D962">
        <v>18</v>
      </c>
      <c r="E962">
        <v>16132</v>
      </c>
      <c r="F962">
        <v>20151</v>
      </c>
      <c r="G962" t="s">
        <v>10</v>
      </c>
    </row>
    <row r="963" spans="1:7" x14ac:dyDescent="0.3">
      <c r="A963" t="s">
        <v>188</v>
      </c>
      <c r="B963" t="s">
        <v>12</v>
      </c>
      <c r="C963" t="s">
        <v>13</v>
      </c>
      <c r="D963">
        <v>16</v>
      </c>
      <c r="E963">
        <v>19547</v>
      </c>
      <c r="F963">
        <v>21465</v>
      </c>
      <c r="G963" t="s">
        <v>10</v>
      </c>
    </row>
    <row r="964" spans="1:7" x14ac:dyDescent="0.3">
      <c r="A964" t="s">
        <v>109</v>
      </c>
      <c r="B964" t="s">
        <v>15</v>
      </c>
      <c r="C964" t="s">
        <v>13</v>
      </c>
      <c r="D964">
        <v>6</v>
      </c>
      <c r="E964">
        <v>7164</v>
      </c>
      <c r="F964">
        <v>13085</v>
      </c>
      <c r="G964" t="s">
        <v>10</v>
      </c>
    </row>
    <row r="965" spans="1:7" x14ac:dyDescent="0.3">
      <c r="A965" t="s">
        <v>58</v>
      </c>
      <c r="B965" t="s">
        <v>67</v>
      </c>
      <c r="C965" t="s">
        <v>22</v>
      </c>
      <c r="D965">
        <v>25</v>
      </c>
      <c r="E965">
        <v>28440</v>
      </c>
      <c r="F965">
        <v>23342</v>
      </c>
      <c r="G965" t="s">
        <v>26</v>
      </c>
    </row>
    <row r="966" spans="1:7" x14ac:dyDescent="0.3">
      <c r="A966" t="s">
        <v>180</v>
      </c>
      <c r="B966" t="s">
        <v>42</v>
      </c>
      <c r="C966" t="s">
        <v>13</v>
      </c>
      <c r="D966">
        <v>12</v>
      </c>
      <c r="E966">
        <v>16171</v>
      </c>
      <c r="F966">
        <v>21694</v>
      </c>
      <c r="G966" t="s">
        <v>10</v>
      </c>
    </row>
    <row r="967" spans="1:7" x14ac:dyDescent="0.3">
      <c r="A967" t="s">
        <v>163</v>
      </c>
      <c r="B967" t="s">
        <v>64</v>
      </c>
      <c r="C967" t="s">
        <v>9</v>
      </c>
      <c r="D967">
        <v>5</v>
      </c>
      <c r="E967">
        <v>7822</v>
      </c>
      <c r="F967">
        <v>13911</v>
      </c>
      <c r="G967" t="s">
        <v>10</v>
      </c>
    </row>
    <row r="968" spans="1:7" x14ac:dyDescent="0.3">
      <c r="A968" t="s">
        <v>62</v>
      </c>
      <c r="B968" t="s">
        <v>21</v>
      </c>
      <c r="C968" t="s">
        <v>22</v>
      </c>
      <c r="D968">
        <v>15</v>
      </c>
      <c r="E968">
        <v>27225</v>
      </c>
      <c r="F968">
        <v>23045</v>
      </c>
      <c r="G968" t="s">
        <v>10</v>
      </c>
    </row>
    <row r="969" spans="1:7" x14ac:dyDescent="0.3">
      <c r="A969" t="s">
        <v>71</v>
      </c>
      <c r="B969" t="s">
        <v>17</v>
      </c>
      <c r="C969" t="s">
        <v>9</v>
      </c>
      <c r="D969">
        <v>25</v>
      </c>
      <c r="E969">
        <v>5555</v>
      </c>
      <c r="F969">
        <v>15999</v>
      </c>
      <c r="G969" t="s">
        <v>10</v>
      </c>
    </row>
    <row r="970" spans="1:7" x14ac:dyDescent="0.3">
      <c r="A970" t="s">
        <v>195</v>
      </c>
      <c r="B970" t="s">
        <v>17</v>
      </c>
      <c r="C970" t="s">
        <v>22</v>
      </c>
      <c r="D970">
        <v>14</v>
      </c>
      <c r="E970">
        <v>9056</v>
      </c>
      <c r="F970">
        <v>21502</v>
      </c>
      <c r="G970" t="s">
        <v>10</v>
      </c>
    </row>
    <row r="971" spans="1:7" x14ac:dyDescent="0.3">
      <c r="A971" t="s">
        <v>159</v>
      </c>
      <c r="B971" t="s">
        <v>69</v>
      </c>
      <c r="C971" t="s">
        <v>9</v>
      </c>
      <c r="D971">
        <v>20</v>
      </c>
      <c r="E971">
        <v>18799</v>
      </c>
      <c r="F971">
        <v>18857</v>
      </c>
      <c r="G971" t="s">
        <v>10</v>
      </c>
    </row>
    <row r="972" spans="1:7" x14ac:dyDescent="0.3">
      <c r="A972" t="s">
        <v>202</v>
      </c>
      <c r="B972" t="s">
        <v>8</v>
      </c>
      <c r="C972" t="s">
        <v>9</v>
      </c>
      <c r="D972">
        <v>21</v>
      </c>
      <c r="E972">
        <v>14998</v>
      </c>
      <c r="F972">
        <v>19748</v>
      </c>
      <c r="G972" t="s">
        <v>10</v>
      </c>
    </row>
    <row r="973" spans="1:7" x14ac:dyDescent="0.3">
      <c r="A973" t="s">
        <v>183</v>
      </c>
      <c r="B973" t="s">
        <v>29</v>
      </c>
      <c r="C973" t="s">
        <v>22</v>
      </c>
      <c r="D973">
        <v>18</v>
      </c>
      <c r="E973">
        <v>10389</v>
      </c>
      <c r="F973">
        <v>24734</v>
      </c>
      <c r="G973" t="s">
        <v>10</v>
      </c>
    </row>
    <row r="974" spans="1:7" x14ac:dyDescent="0.3">
      <c r="A974" t="s">
        <v>127</v>
      </c>
      <c r="B974" t="s">
        <v>73</v>
      </c>
      <c r="C974" t="s">
        <v>22</v>
      </c>
      <c r="D974">
        <v>23</v>
      </c>
      <c r="E974">
        <v>18858</v>
      </c>
      <c r="F974">
        <v>20724</v>
      </c>
      <c r="G974" t="s">
        <v>10</v>
      </c>
    </row>
    <row r="975" spans="1:7" x14ac:dyDescent="0.3">
      <c r="A975" t="s">
        <v>76</v>
      </c>
      <c r="B975" t="s">
        <v>73</v>
      </c>
      <c r="C975" t="s">
        <v>9</v>
      </c>
      <c r="D975">
        <v>19</v>
      </c>
      <c r="E975">
        <v>17137</v>
      </c>
      <c r="F975">
        <v>17932</v>
      </c>
      <c r="G975" t="s">
        <v>10</v>
      </c>
    </row>
    <row r="976" spans="1:7" x14ac:dyDescent="0.3">
      <c r="A976" t="s">
        <v>89</v>
      </c>
      <c r="B976" t="s">
        <v>8</v>
      </c>
      <c r="C976" t="s">
        <v>13</v>
      </c>
      <c r="D976">
        <v>20</v>
      </c>
      <c r="E976">
        <v>19792</v>
      </c>
      <c r="F976">
        <v>24527</v>
      </c>
      <c r="G976" t="s">
        <v>26</v>
      </c>
    </row>
    <row r="977" spans="1:7" x14ac:dyDescent="0.3">
      <c r="A977" t="s">
        <v>176</v>
      </c>
      <c r="B977" t="s">
        <v>79</v>
      </c>
      <c r="C977" t="s">
        <v>13</v>
      </c>
      <c r="D977">
        <v>12</v>
      </c>
      <c r="E977">
        <v>20273</v>
      </c>
      <c r="F977">
        <v>22377</v>
      </c>
      <c r="G977" t="s">
        <v>10</v>
      </c>
    </row>
    <row r="978" spans="1:7" x14ac:dyDescent="0.3">
      <c r="A978" t="s">
        <v>109</v>
      </c>
      <c r="B978" t="s">
        <v>79</v>
      </c>
      <c r="C978" t="s">
        <v>9</v>
      </c>
      <c r="D978">
        <v>9</v>
      </c>
      <c r="E978">
        <v>12969</v>
      </c>
      <c r="F978">
        <v>12681</v>
      </c>
      <c r="G978" t="s">
        <v>10</v>
      </c>
    </row>
    <row r="979" spans="1:7" x14ac:dyDescent="0.3">
      <c r="A979" t="s">
        <v>192</v>
      </c>
      <c r="B979" t="s">
        <v>25</v>
      </c>
      <c r="C979" t="s">
        <v>9</v>
      </c>
      <c r="D979">
        <v>20</v>
      </c>
      <c r="E979">
        <v>20616</v>
      </c>
      <c r="F979">
        <v>18641</v>
      </c>
      <c r="G979" t="s">
        <v>10</v>
      </c>
    </row>
    <row r="980" spans="1:7" x14ac:dyDescent="0.3">
      <c r="A980" t="s">
        <v>85</v>
      </c>
      <c r="B980" t="s">
        <v>67</v>
      </c>
      <c r="C980" t="s">
        <v>22</v>
      </c>
      <c r="D980">
        <v>16</v>
      </c>
      <c r="E980">
        <v>23255</v>
      </c>
      <c r="F980">
        <v>20084</v>
      </c>
      <c r="G980" t="s">
        <v>10</v>
      </c>
    </row>
    <row r="981" spans="1:7" x14ac:dyDescent="0.3">
      <c r="A981" t="s">
        <v>157</v>
      </c>
      <c r="B981" t="s">
        <v>27</v>
      </c>
      <c r="C981" t="s">
        <v>9</v>
      </c>
      <c r="D981">
        <v>14</v>
      </c>
      <c r="E981">
        <v>18655</v>
      </c>
      <c r="F981">
        <v>22472</v>
      </c>
      <c r="G981" t="s">
        <v>10</v>
      </c>
    </row>
    <row r="982" spans="1:7" x14ac:dyDescent="0.3">
      <c r="A982" t="s">
        <v>186</v>
      </c>
      <c r="B982" t="s">
        <v>35</v>
      </c>
      <c r="C982" t="s">
        <v>9</v>
      </c>
      <c r="D982">
        <v>19</v>
      </c>
      <c r="E982">
        <v>5806</v>
      </c>
      <c r="F982">
        <v>15797</v>
      </c>
      <c r="G982" t="s">
        <v>26</v>
      </c>
    </row>
    <row r="983" spans="1:7" x14ac:dyDescent="0.3">
      <c r="A983" t="s">
        <v>130</v>
      </c>
      <c r="B983" t="s">
        <v>92</v>
      </c>
      <c r="C983" t="s">
        <v>22</v>
      </c>
      <c r="D983">
        <v>8</v>
      </c>
      <c r="E983">
        <v>25204</v>
      </c>
      <c r="F983">
        <v>20549</v>
      </c>
      <c r="G983" t="s">
        <v>10</v>
      </c>
    </row>
    <row r="984" spans="1:7" x14ac:dyDescent="0.3">
      <c r="A984" t="s">
        <v>72</v>
      </c>
      <c r="B984" t="s">
        <v>40</v>
      </c>
      <c r="C984" t="s">
        <v>13</v>
      </c>
      <c r="D984">
        <v>21</v>
      </c>
      <c r="E984">
        <v>23979</v>
      </c>
      <c r="F984">
        <v>16980</v>
      </c>
      <c r="G984" t="s">
        <v>10</v>
      </c>
    </row>
    <row r="985" spans="1:7" x14ac:dyDescent="0.3">
      <c r="A985" t="s">
        <v>149</v>
      </c>
      <c r="B985" t="s">
        <v>120</v>
      </c>
      <c r="C985" t="s">
        <v>13</v>
      </c>
      <c r="D985">
        <v>20</v>
      </c>
      <c r="E985">
        <v>12033</v>
      </c>
      <c r="F985">
        <v>24091</v>
      </c>
      <c r="G985" t="s">
        <v>26</v>
      </c>
    </row>
    <row r="986" spans="1:7" x14ac:dyDescent="0.3">
      <c r="A986" t="s">
        <v>78</v>
      </c>
      <c r="B986" t="s">
        <v>33</v>
      </c>
      <c r="C986" t="s">
        <v>22</v>
      </c>
      <c r="D986">
        <v>22</v>
      </c>
      <c r="E986">
        <v>9896</v>
      </c>
      <c r="F986">
        <v>19396</v>
      </c>
      <c r="G986" t="s">
        <v>10</v>
      </c>
    </row>
    <row r="987" spans="1:7" x14ac:dyDescent="0.3">
      <c r="A987" t="s">
        <v>65</v>
      </c>
      <c r="B987" t="s">
        <v>46</v>
      </c>
      <c r="C987" t="s">
        <v>13</v>
      </c>
      <c r="D987">
        <v>13</v>
      </c>
      <c r="E987">
        <v>20970</v>
      </c>
      <c r="F987">
        <v>10995</v>
      </c>
      <c r="G987" t="s">
        <v>10</v>
      </c>
    </row>
    <row r="988" spans="1:7" x14ac:dyDescent="0.3">
      <c r="A988" t="s">
        <v>81</v>
      </c>
      <c r="B988" t="s">
        <v>101</v>
      </c>
      <c r="C988" t="s">
        <v>22</v>
      </c>
      <c r="D988">
        <v>10</v>
      </c>
      <c r="E988">
        <v>7882</v>
      </c>
      <c r="F988">
        <v>10985</v>
      </c>
      <c r="G988" t="s">
        <v>10</v>
      </c>
    </row>
    <row r="989" spans="1:7" x14ac:dyDescent="0.3">
      <c r="A989" t="s">
        <v>115</v>
      </c>
      <c r="B989" t="s">
        <v>15</v>
      </c>
      <c r="C989" t="s">
        <v>13</v>
      </c>
      <c r="D989">
        <v>22</v>
      </c>
      <c r="E989">
        <v>24419</v>
      </c>
      <c r="F989">
        <v>20210</v>
      </c>
      <c r="G989" t="s">
        <v>10</v>
      </c>
    </row>
    <row r="990" spans="1:7" x14ac:dyDescent="0.3">
      <c r="A990" t="s">
        <v>221</v>
      </c>
      <c r="B990" t="s">
        <v>35</v>
      </c>
      <c r="C990" t="s">
        <v>22</v>
      </c>
      <c r="D990">
        <v>9</v>
      </c>
      <c r="E990">
        <v>14760</v>
      </c>
      <c r="F990">
        <v>11127</v>
      </c>
      <c r="G990" t="s">
        <v>10</v>
      </c>
    </row>
    <row r="991" spans="1:7" x14ac:dyDescent="0.3">
      <c r="A991" t="s">
        <v>91</v>
      </c>
      <c r="B991" t="s">
        <v>101</v>
      </c>
      <c r="C991" t="s">
        <v>22</v>
      </c>
      <c r="D991">
        <v>14</v>
      </c>
      <c r="E991">
        <v>25747</v>
      </c>
      <c r="F991">
        <v>13668</v>
      </c>
      <c r="G991" t="s">
        <v>10</v>
      </c>
    </row>
    <row r="992" spans="1:7" x14ac:dyDescent="0.3">
      <c r="A992" t="s">
        <v>111</v>
      </c>
      <c r="B992" t="s">
        <v>75</v>
      </c>
      <c r="C992" t="s">
        <v>9</v>
      </c>
      <c r="D992">
        <v>18</v>
      </c>
      <c r="E992">
        <v>25528</v>
      </c>
      <c r="F992">
        <v>22717</v>
      </c>
      <c r="G992" t="s">
        <v>10</v>
      </c>
    </row>
    <row r="993" spans="1:7" x14ac:dyDescent="0.3">
      <c r="A993" t="s">
        <v>219</v>
      </c>
      <c r="B993" t="s">
        <v>50</v>
      </c>
      <c r="C993" t="s">
        <v>13</v>
      </c>
      <c r="D993">
        <v>10</v>
      </c>
      <c r="E993">
        <v>10981</v>
      </c>
      <c r="F993">
        <v>11012</v>
      </c>
      <c r="G993" t="s">
        <v>10</v>
      </c>
    </row>
    <row r="994" spans="1:7" x14ac:dyDescent="0.3">
      <c r="A994" t="s">
        <v>211</v>
      </c>
      <c r="B994" t="s">
        <v>8</v>
      </c>
      <c r="C994" t="s">
        <v>13</v>
      </c>
      <c r="D994">
        <v>9</v>
      </c>
      <c r="E994">
        <v>29183</v>
      </c>
      <c r="F994">
        <v>17135</v>
      </c>
      <c r="G994" t="s">
        <v>10</v>
      </c>
    </row>
    <row r="995" spans="1:7" x14ac:dyDescent="0.3">
      <c r="A995" t="s">
        <v>161</v>
      </c>
      <c r="B995" t="s">
        <v>52</v>
      </c>
      <c r="C995" t="s">
        <v>22</v>
      </c>
      <c r="D995">
        <v>5</v>
      </c>
      <c r="E995">
        <v>29119</v>
      </c>
      <c r="F995">
        <v>18867</v>
      </c>
      <c r="G995" t="s">
        <v>10</v>
      </c>
    </row>
    <row r="996" spans="1:7" x14ac:dyDescent="0.3">
      <c r="A996" t="s">
        <v>156</v>
      </c>
      <c r="B996" t="s">
        <v>50</v>
      </c>
      <c r="C996" t="s">
        <v>22</v>
      </c>
      <c r="D996">
        <v>25</v>
      </c>
      <c r="E996">
        <v>25963</v>
      </c>
      <c r="F996">
        <v>18210</v>
      </c>
      <c r="G996" t="s">
        <v>10</v>
      </c>
    </row>
    <row r="997" spans="1:7" x14ac:dyDescent="0.3">
      <c r="A997" t="s">
        <v>206</v>
      </c>
      <c r="B997" t="s">
        <v>40</v>
      </c>
      <c r="C997" t="s">
        <v>13</v>
      </c>
      <c r="D997">
        <v>23</v>
      </c>
      <c r="E997">
        <v>23092</v>
      </c>
      <c r="F997">
        <v>17935</v>
      </c>
      <c r="G997" t="s">
        <v>10</v>
      </c>
    </row>
    <row r="998" spans="1:7" x14ac:dyDescent="0.3">
      <c r="A998" t="s">
        <v>63</v>
      </c>
      <c r="B998" t="s">
        <v>67</v>
      </c>
      <c r="C998" t="s">
        <v>13</v>
      </c>
      <c r="D998">
        <v>6</v>
      </c>
      <c r="E998">
        <v>12287</v>
      </c>
      <c r="F998">
        <v>23389</v>
      </c>
      <c r="G998" t="s">
        <v>10</v>
      </c>
    </row>
    <row r="999" spans="1:7" x14ac:dyDescent="0.3">
      <c r="A999" t="s">
        <v>183</v>
      </c>
      <c r="B999" t="s">
        <v>17</v>
      </c>
      <c r="C999" t="s">
        <v>9</v>
      </c>
      <c r="D999">
        <v>17</v>
      </c>
      <c r="E999">
        <v>29963</v>
      </c>
      <c r="F999">
        <v>22013</v>
      </c>
      <c r="G999" t="s">
        <v>10</v>
      </c>
    </row>
    <row r="1000" spans="1:7" x14ac:dyDescent="0.3">
      <c r="A1000" t="s">
        <v>220</v>
      </c>
      <c r="B1000" t="s">
        <v>42</v>
      </c>
      <c r="C1000" t="s">
        <v>22</v>
      </c>
      <c r="D1000">
        <v>12</v>
      </c>
      <c r="E1000">
        <v>15946</v>
      </c>
      <c r="F1000">
        <v>14485</v>
      </c>
      <c r="G1000" t="s">
        <v>10</v>
      </c>
    </row>
    <row r="1001" spans="1:7" x14ac:dyDescent="0.3">
      <c r="A1001" t="s">
        <v>57</v>
      </c>
      <c r="B1001" t="s">
        <v>79</v>
      </c>
      <c r="C1001" t="s">
        <v>13</v>
      </c>
      <c r="D1001">
        <v>24</v>
      </c>
      <c r="E1001">
        <v>23822</v>
      </c>
      <c r="F1001">
        <v>18362</v>
      </c>
      <c r="G1001" t="s">
        <v>10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6FDA6-90DD-4202-8222-2511D9C48DB0}">
  <dimension ref="A1:K1001"/>
  <sheetViews>
    <sheetView topLeftCell="A2" workbookViewId="0">
      <selection activeCell="E1" sqref="E1"/>
    </sheetView>
  </sheetViews>
  <sheetFormatPr defaultRowHeight="14.4" x14ac:dyDescent="0.3"/>
  <cols>
    <col min="2" max="2" width="17.21875" customWidth="1"/>
    <col min="3" max="3" width="13" customWidth="1"/>
    <col min="4" max="4" width="16.44140625" customWidth="1"/>
    <col min="5" max="5" width="10.21875" customWidth="1"/>
    <col min="7" max="7" width="18.88671875" customWidth="1"/>
    <col min="9" max="9" width="16" bestFit="1" customWidth="1"/>
    <col min="10" max="11" width="17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222</v>
      </c>
      <c r="I1" t="s">
        <v>225</v>
      </c>
      <c r="J1" t="s">
        <v>223</v>
      </c>
      <c r="K1" t="s">
        <v>224</v>
      </c>
    </row>
    <row r="2" spans="1:11" x14ac:dyDescent="0.3">
      <c r="A2" t="s">
        <v>7</v>
      </c>
      <c r="B2" t="s">
        <v>8</v>
      </c>
      <c r="C2" t="s">
        <v>9</v>
      </c>
      <c r="D2">
        <v>25</v>
      </c>
      <c r="E2">
        <v>24319</v>
      </c>
      <c r="F2">
        <v>16621</v>
      </c>
      <c r="G2" t="s">
        <v>10</v>
      </c>
      <c r="H2" t="str">
        <f>TEXT(CleanData[[#This Row],[Date]],"mmm")</f>
        <v>May</v>
      </c>
      <c r="I2">
        <f>WEEKNUM(CleanData[[#This Row],[Date]])</f>
        <v>20</v>
      </c>
      <c r="J2">
        <f>IF(CleanData[[#This Row],[Revenue]]&gt;=CleanData[[#This Row],[Target]],1,0)</f>
        <v>1</v>
      </c>
      <c r="K2">
        <f>IF(CleanData[[#This Row],[Attendance_Status]]="Present",1,0)</f>
        <v>1</v>
      </c>
    </row>
    <row r="3" spans="1:11" x14ac:dyDescent="0.3">
      <c r="A3" t="s">
        <v>11</v>
      </c>
      <c r="B3" t="s">
        <v>12</v>
      </c>
      <c r="C3" t="s">
        <v>13</v>
      </c>
      <c r="D3">
        <v>9</v>
      </c>
      <c r="E3">
        <v>17230</v>
      </c>
      <c r="F3">
        <v>24682</v>
      </c>
      <c r="G3" t="s">
        <v>10</v>
      </c>
      <c r="H3" t="str">
        <f>TEXT(CleanData[[#This Row],[Date]],"mmm")</f>
        <v>Jun</v>
      </c>
      <c r="I3">
        <f>WEEKNUM(CleanData[[#This Row],[Date]])</f>
        <v>23</v>
      </c>
      <c r="J3">
        <f>IF(CleanData[[#This Row],[Revenue]]&gt;=CleanData[[#This Row],[Target]],1,0)</f>
        <v>0</v>
      </c>
      <c r="K3">
        <f>IF(CleanData[[#This Row],[Attendance_Status]]="Present",1,0)</f>
        <v>1</v>
      </c>
    </row>
    <row r="4" spans="1:11" x14ac:dyDescent="0.3">
      <c r="A4" t="s">
        <v>14</v>
      </c>
      <c r="B4" t="s">
        <v>15</v>
      </c>
      <c r="C4" t="s">
        <v>13</v>
      </c>
      <c r="D4">
        <v>17</v>
      </c>
      <c r="E4">
        <v>21478</v>
      </c>
      <c r="F4">
        <v>21261</v>
      </c>
      <c r="G4" t="s">
        <v>10</v>
      </c>
      <c r="H4" t="str">
        <f>TEXT(CleanData[[#This Row],[Date]],"mmm")</f>
        <v>Jun</v>
      </c>
      <c r="I4">
        <f>WEEKNUM(CleanData[[#This Row],[Date]])</f>
        <v>24</v>
      </c>
      <c r="J4">
        <f>IF(CleanData[[#This Row],[Revenue]]&gt;=CleanData[[#This Row],[Target]],1,0)</f>
        <v>1</v>
      </c>
      <c r="K4">
        <f>IF(CleanData[[#This Row],[Attendance_Status]]="Present",1,0)</f>
        <v>1</v>
      </c>
    </row>
    <row r="5" spans="1:11" x14ac:dyDescent="0.3">
      <c r="A5" t="s">
        <v>16</v>
      </c>
      <c r="B5" t="s">
        <v>17</v>
      </c>
      <c r="C5" t="s">
        <v>9</v>
      </c>
      <c r="D5">
        <v>19</v>
      </c>
      <c r="E5">
        <v>23568</v>
      </c>
      <c r="F5">
        <v>10881</v>
      </c>
      <c r="G5" t="s">
        <v>10</v>
      </c>
      <c r="H5" t="str">
        <f>TEXT(CleanData[[#This Row],[Date]],"mmm")</f>
        <v>Mar</v>
      </c>
      <c r="I5">
        <f>WEEKNUM(CleanData[[#This Row],[Date]])</f>
        <v>13</v>
      </c>
      <c r="J5">
        <f>IF(CleanData[[#This Row],[Revenue]]&gt;=CleanData[[#This Row],[Target]],1,0)</f>
        <v>1</v>
      </c>
      <c r="K5">
        <f>IF(CleanData[[#This Row],[Attendance_Status]]="Present",1,0)</f>
        <v>1</v>
      </c>
    </row>
    <row r="6" spans="1:11" x14ac:dyDescent="0.3">
      <c r="A6" t="s">
        <v>18</v>
      </c>
      <c r="B6" t="s">
        <v>19</v>
      </c>
      <c r="C6" t="s">
        <v>13</v>
      </c>
      <c r="D6">
        <v>7</v>
      </c>
      <c r="E6">
        <v>17970</v>
      </c>
      <c r="F6">
        <v>19518</v>
      </c>
      <c r="G6" t="s">
        <v>10</v>
      </c>
      <c r="H6" t="str">
        <f>TEXT(CleanData[[#This Row],[Date]],"mmm")</f>
        <v>Apr</v>
      </c>
      <c r="I6">
        <f>WEEKNUM(CleanData[[#This Row],[Date]])</f>
        <v>17</v>
      </c>
      <c r="J6">
        <f>IF(CleanData[[#This Row],[Revenue]]&gt;=CleanData[[#This Row],[Target]],1,0)</f>
        <v>0</v>
      </c>
      <c r="K6">
        <f>IF(CleanData[[#This Row],[Attendance_Status]]="Present",1,0)</f>
        <v>1</v>
      </c>
    </row>
    <row r="7" spans="1:11" x14ac:dyDescent="0.3">
      <c r="A7" t="s">
        <v>20</v>
      </c>
      <c r="B7" t="s">
        <v>21</v>
      </c>
      <c r="C7" t="s">
        <v>22</v>
      </c>
      <c r="D7">
        <v>15</v>
      </c>
      <c r="E7">
        <v>27435</v>
      </c>
      <c r="F7">
        <v>15876</v>
      </c>
      <c r="G7" t="s">
        <v>10</v>
      </c>
      <c r="H7" t="str">
        <f>TEXT(CleanData[[#This Row],[Date]],"mmm")</f>
        <v>Feb</v>
      </c>
      <c r="I7">
        <f>WEEKNUM(CleanData[[#This Row],[Date]])</f>
        <v>9</v>
      </c>
      <c r="J7">
        <f>IF(CleanData[[#This Row],[Revenue]]&gt;=CleanData[[#This Row],[Target]],1,0)</f>
        <v>1</v>
      </c>
      <c r="K7">
        <f>IF(CleanData[[#This Row],[Attendance_Status]]="Present",1,0)</f>
        <v>1</v>
      </c>
    </row>
    <row r="8" spans="1:11" x14ac:dyDescent="0.3">
      <c r="A8" t="s">
        <v>23</v>
      </c>
      <c r="B8" t="s">
        <v>17</v>
      </c>
      <c r="C8" t="s">
        <v>13</v>
      </c>
      <c r="D8">
        <v>6</v>
      </c>
      <c r="E8">
        <v>21328</v>
      </c>
      <c r="F8">
        <v>23505</v>
      </c>
      <c r="G8" t="s">
        <v>10</v>
      </c>
      <c r="H8" t="str">
        <f>TEXT(CleanData[[#This Row],[Date]],"mmm")</f>
        <v>Mar</v>
      </c>
      <c r="I8">
        <f>WEEKNUM(CleanData[[#This Row],[Date]])</f>
        <v>10</v>
      </c>
      <c r="J8">
        <f>IF(CleanData[[#This Row],[Revenue]]&gt;=CleanData[[#This Row],[Target]],1,0)</f>
        <v>0</v>
      </c>
      <c r="K8">
        <f>IF(CleanData[[#This Row],[Attendance_Status]]="Present",1,0)</f>
        <v>1</v>
      </c>
    </row>
    <row r="9" spans="1:11" x14ac:dyDescent="0.3">
      <c r="A9" t="s">
        <v>24</v>
      </c>
      <c r="B9" t="s">
        <v>25</v>
      </c>
      <c r="C9" t="s">
        <v>22</v>
      </c>
      <c r="D9">
        <v>12</v>
      </c>
      <c r="E9">
        <v>10339</v>
      </c>
      <c r="F9">
        <v>11807</v>
      </c>
      <c r="G9" t="s">
        <v>26</v>
      </c>
      <c r="H9" t="str">
        <f>TEXT(CleanData[[#This Row],[Date]],"mmm")</f>
        <v>May</v>
      </c>
      <c r="I9">
        <f>WEEKNUM(CleanData[[#This Row],[Date]])</f>
        <v>20</v>
      </c>
      <c r="J9">
        <f>IF(CleanData[[#This Row],[Revenue]]&gt;=CleanData[[#This Row],[Target]],1,0)</f>
        <v>0</v>
      </c>
      <c r="K9">
        <f>IF(CleanData[[#This Row],[Attendance_Status]]="Present",1,0)</f>
        <v>0</v>
      </c>
    </row>
    <row r="10" spans="1:11" x14ac:dyDescent="0.3">
      <c r="A10" t="s">
        <v>24</v>
      </c>
      <c r="B10" t="s">
        <v>27</v>
      </c>
      <c r="C10" t="s">
        <v>13</v>
      </c>
      <c r="D10">
        <v>22</v>
      </c>
      <c r="E10">
        <v>10246</v>
      </c>
      <c r="F10">
        <v>14905</v>
      </c>
      <c r="G10" t="s">
        <v>10</v>
      </c>
      <c r="H10" t="str">
        <f>TEXT(CleanData[[#This Row],[Date]],"mmm")</f>
        <v>May</v>
      </c>
      <c r="I10">
        <f>WEEKNUM(CleanData[[#This Row],[Date]])</f>
        <v>20</v>
      </c>
      <c r="J10">
        <f>IF(CleanData[[#This Row],[Revenue]]&gt;=CleanData[[#This Row],[Target]],1,0)</f>
        <v>0</v>
      </c>
      <c r="K10">
        <f>IF(CleanData[[#This Row],[Attendance_Status]]="Present",1,0)</f>
        <v>1</v>
      </c>
    </row>
    <row r="11" spans="1:11" x14ac:dyDescent="0.3">
      <c r="A11" t="s">
        <v>28</v>
      </c>
      <c r="B11" t="s">
        <v>29</v>
      </c>
      <c r="C11" t="s">
        <v>22</v>
      </c>
      <c r="D11">
        <v>8</v>
      </c>
      <c r="E11">
        <v>19174</v>
      </c>
      <c r="F11">
        <v>11612</v>
      </c>
      <c r="G11" t="s">
        <v>10</v>
      </c>
      <c r="H11" t="str">
        <f>TEXT(CleanData[[#This Row],[Date]],"mmm")</f>
        <v>Mar</v>
      </c>
      <c r="I11">
        <f>WEEKNUM(CleanData[[#This Row],[Date]])</f>
        <v>12</v>
      </c>
      <c r="J11">
        <f>IF(CleanData[[#This Row],[Revenue]]&gt;=CleanData[[#This Row],[Target]],1,0)</f>
        <v>1</v>
      </c>
      <c r="K11">
        <f>IF(CleanData[[#This Row],[Attendance_Status]]="Present",1,0)</f>
        <v>1</v>
      </c>
    </row>
    <row r="12" spans="1:11" x14ac:dyDescent="0.3">
      <c r="A12" t="s">
        <v>30</v>
      </c>
      <c r="B12" t="s">
        <v>31</v>
      </c>
      <c r="C12" t="s">
        <v>22</v>
      </c>
      <c r="D12">
        <v>20</v>
      </c>
      <c r="E12">
        <v>26130</v>
      </c>
      <c r="F12">
        <v>12839</v>
      </c>
      <c r="G12" t="s">
        <v>26</v>
      </c>
      <c r="H12" t="str">
        <f>TEXT(CleanData[[#This Row],[Date]],"mmm")</f>
        <v>Mar</v>
      </c>
      <c r="I12">
        <f>WEEKNUM(CleanData[[#This Row],[Date]])</f>
        <v>11</v>
      </c>
      <c r="J12">
        <f>IF(CleanData[[#This Row],[Revenue]]&gt;=CleanData[[#This Row],[Target]],1,0)</f>
        <v>1</v>
      </c>
      <c r="K12">
        <f>IF(CleanData[[#This Row],[Attendance_Status]]="Present",1,0)</f>
        <v>0</v>
      </c>
    </row>
    <row r="13" spans="1:11" x14ac:dyDescent="0.3">
      <c r="A13" t="s">
        <v>32</v>
      </c>
      <c r="B13" t="s">
        <v>33</v>
      </c>
      <c r="C13" t="s">
        <v>13</v>
      </c>
      <c r="D13">
        <v>9</v>
      </c>
      <c r="E13">
        <v>20324</v>
      </c>
      <c r="F13">
        <v>21882</v>
      </c>
      <c r="G13" t="s">
        <v>10</v>
      </c>
      <c r="H13" t="str">
        <f>TEXT(CleanData[[#This Row],[Date]],"mmm")</f>
        <v>Apr</v>
      </c>
      <c r="I13">
        <f>WEEKNUM(CleanData[[#This Row],[Date]])</f>
        <v>14</v>
      </c>
      <c r="J13">
        <f>IF(CleanData[[#This Row],[Revenue]]&gt;=CleanData[[#This Row],[Target]],1,0)</f>
        <v>0</v>
      </c>
      <c r="K13">
        <f>IF(CleanData[[#This Row],[Attendance_Status]]="Present",1,0)</f>
        <v>1</v>
      </c>
    </row>
    <row r="14" spans="1:11" x14ac:dyDescent="0.3">
      <c r="A14" t="s">
        <v>34</v>
      </c>
      <c r="B14" t="s">
        <v>35</v>
      </c>
      <c r="C14" t="s">
        <v>13</v>
      </c>
      <c r="D14">
        <v>15</v>
      </c>
      <c r="E14">
        <v>27192</v>
      </c>
      <c r="F14">
        <v>23097</v>
      </c>
      <c r="G14" t="s">
        <v>10</v>
      </c>
      <c r="H14" t="str">
        <f>TEXT(CleanData[[#This Row],[Date]],"mmm")</f>
        <v>Jan</v>
      </c>
      <c r="I14">
        <f>WEEKNUM(CleanData[[#This Row],[Date]])</f>
        <v>1</v>
      </c>
      <c r="J14">
        <f>IF(CleanData[[#This Row],[Revenue]]&gt;=CleanData[[#This Row],[Target]],1,0)</f>
        <v>1</v>
      </c>
      <c r="K14">
        <f>IF(CleanData[[#This Row],[Attendance_Status]]="Present",1,0)</f>
        <v>1</v>
      </c>
    </row>
    <row r="15" spans="1:11" x14ac:dyDescent="0.3">
      <c r="A15" t="s">
        <v>36</v>
      </c>
      <c r="B15" t="s">
        <v>37</v>
      </c>
      <c r="C15" t="s">
        <v>13</v>
      </c>
      <c r="D15">
        <v>10</v>
      </c>
      <c r="E15">
        <v>8623</v>
      </c>
      <c r="F15">
        <v>23467</v>
      </c>
      <c r="G15" t="s">
        <v>10</v>
      </c>
      <c r="H15" t="str">
        <f>TEXT(CleanData[[#This Row],[Date]],"mmm")</f>
        <v>May</v>
      </c>
      <c r="I15">
        <f>WEEKNUM(CleanData[[#This Row],[Date]])</f>
        <v>22</v>
      </c>
      <c r="J15">
        <f>IF(CleanData[[#This Row],[Revenue]]&gt;=CleanData[[#This Row],[Target]],1,0)</f>
        <v>0</v>
      </c>
      <c r="K15">
        <f>IF(CleanData[[#This Row],[Attendance_Status]]="Present",1,0)</f>
        <v>1</v>
      </c>
    </row>
    <row r="16" spans="1:11" x14ac:dyDescent="0.3">
      <c r="A16" t="s">
        <v>38</v>
      </c>
      <c r="B16" t="s">
        <v>33</v>
      </c>
      <c r="C16" t="s">
        <v>22</v>
      </c>
      <c r="D16">
        <v>6</v>
      </c>
      <c r="E16">
        <v>5936</v>
      </c>
      <c r="F16">
        <v>20868</v>
      </c>
      <c r="G16" t="s">
        <v>10</v>
      </c>
      <c r="H16" t="str">
        <f>TEXT(CleanData[[#This Row],[Date]],"mmm")</f>
        <v>Jan</v>
      </c>
      <c r="I16">
        <f>WEEKNUM(CleanData[[#This Row],[Date]])</f>
        <v>3</v>
      </c>
      <c r="J16">
        <f>IF(CleanData[[#This Row],[Revenue]]&gt;=CleanData[[#This Row],[Target]],1,0)</f>
        <v>0</v>
      </c>
      <c r="K16">
        <f>IF(CleanData[[#This Row],[Attendance_Status]]="Present",1,0)</f>
        <v>1</v>
      </c>
    </row>
    <row r="17" spans="1:11" x14ac:dyDescent="0.3">
      <c r="A17" t="s">
        <v>39</v>
      </c>
      <c r="B17" t="s">
        <v>40</v>
      </c>
      <c r="C17" t="s">
        <v>9</v>
      </c>
      <c r="D17">
        <v>10</v>
      </c>
      <c r="E17">
        <v>27674</v>
      </c>
      <c r="F17">
        <v>17314</v>
      </c>
      <c r="G17" t="s">
        <v>10</v>
      </c>
      <c r="H17" t="str">
        <f>TEXT(CleanData[[#This Row],[Date]],"mmm")</f>
        <v>Feb</v>
      </c>
      <c r="I17">
        <f>WEEKNUM(CleanData[[#This Row],[Date]])</f>
        <v>8</v>
      </c>
      <c r="J17">
        <f>IF(CleanData[[#This Row],[Revenue]]&gt;=CleanData[[#This Row],[Target]],1,0)</f>
        <v>1</v>
      </c>
      <c r="K17">
        <f>IF(CleanData[[#This Row],[Attendance_Status]]="Present",1,0)</f>
        <v>1</v>
      </c>
    </row>
    <row r="18" spans="1:11" x14ac:dyDescent="0.3">
      <c r="A18" t="s">
        <v>41</v>
      </c>
      <c r="B18" t="s">
        <v>42</v>
      </c>
      <c r="C18" t="s">
        <v>13</v>
      </c>
      <c r="D18">
        <v>14</v>
      </c>
      <c r="E18">
        <v>8756</v>
      </c>
      <c r="F18">
        <v>11579</v>
      </c>
      <c r="G18" t="s">
        <v>26</v>
      </c>
      <c r="H18" t="str">
        <f>TEXT(CleanData[[#This Row],[Date]],"mmm")</f>
        <v>Jun</v>
      </c>
      <c r="I18">
        <f>WEEKNUM(CleanData[[#This Row],[Date]])</f>
        <v>26</v>
      </c>
      <c r="J18">
        <f>IF(CleanData[[#This Row],[Revenue]]&gt;=CleanData[[#This Row],[Target]],1,0)</f>
        <v>0</v>
      </c>
      <c r="K18">
        <f>IF(CleanData[[#This Row],[Attendance_Status]]="Present",1,0)</f>
        <v>0</v>
      </c>
    </row>
    <row r="19" spans="1:11" x14ac:dyDescent="0.3">
      <c r="A19" t="s">
        <v>43</v>
      </c>
      <c r="B19" t="s">
        <v>33</v>
      </c>
      <c r="C19" t="s">
        <v>22</v>
      </c>
      <c r="D19">
        <v>20</v>
      </c>
      <c r="E19">
        <v>14252</v>
      </c>
      <c r="F19">
        <v>24458</v>
      </c>
      <c r="G19" t="s">
        <v>10</v>
      </c>
      <c r="H19" t="str">
        <f>TEXT(CleanData[[#This Row],[Date]],"mmm")</f>
        <v>Feb</v>
      </c>
      <c r="I19">
        <f>WEEKNUM(CleanData[[#This Row],[Date]])</f>
        <v>8</v>
      </c>
      <c r="J19">
        <f>IF(CleanData[[#This Row],[Revenue]]&gt;=CleanData[[#This Row],[Target]],1,0)</f>
        <v>0</v>
      </c>
      <c r="K19">
        <f>IF(CleanData[[#This Row],[Attendance_Status]]="Present",1,0)</f>
        <v>1</v>
      </c>
    </row>
    <row r="20" spans="1:11" x14ac:dyDescent="0.3">
      <c r="A20" t="s">
        <v>44</v>
      </c>
      <c r="B20" t="s">
        <v>27</v>
      </c>
      <c r="C20" t="s">
        <v>9</v>
      </c>
      <c r="D20">
        <v>19</v>
      </c>
      <c r="E20">
        <v>14837</v>
      </c>
      <c r="F20">
        <v>17276</v>
      </c>
      <c r="G20" t="s">
        <v>10</v>
      </c>
      <c r="H20" t="str">
        <f>TEXT(CleanData[[#This Row],[Date]],"mmm")</f>
        <v>Mar</v>
      </c>
      <c r="I20">
        <f>WEEKNUM(CleanData[[#This Row],[Date]])</f>
        <v>13</v>
      </c>
      <c r="J20">
        <f>IF(CleanData[[#This Row],[Revenue]]&gt;=CleanData[[#This Row],[Target]],1,0)</f>
        <v>0</v>
      </c>
      <c r="K20">
        <f>IF(CleanData[[#This Row],[Attendance_Status]]="Present",1,0)</f>
        <v>1</v>
      </c>
    </row>
    <row r="21" spans="1:11" x14ac:dyDescent="0.3">
      <c r="A21" t="s">
        <v>45</v>
      </c>
      <c r="B21" t="s">
        <v>46</v>
      </c>
      <c r="C21" t="s">
        <v>9</v>
      </c>
      <c r="D21">
        <v>17</v>
      </c>
      <c r="E21">
        <v>10948</v>
      </c>
      <c r="F21">
        <v>21515</v>
      </c>
      <c r="G21" t="s">
        <v>10</v>
      </c>
      <c r="H21" t="str">
        <f>TEXT(CleanData[[#This Row],[Date]],"mmm")</f>
        <v>Jun</v>
      </c>
      <c r="I21">
        <f>WEEKNUM(CleanData[[#This Row],[Date]])</f>
        <v>25</v>
      </c>
      <c r="J21">
        <f>IF(CleanData[[#This Row],[Revenue]]&gt;=CleanData[[#This Row],[Target]],1,0)</f>
        <v>0</v>
      </c>
      <c r="K21">
        <f>IF(CleanData[[#This Row],[Attendance_Status]]="Present",1,0)</f>
        <v>1</v>
      </c>
    </row>
    <row r="22" spans="1:11" x14ac:dyDescent="0.3">
      <c r="A22" t="s">
        <v>47</v>
      </c>
      <c r="B22" t="s">
        <v>48</v>
      </c>
      <c r="C22" t="s">
        <v>22</v>
      </c>
      <c r="D22">
        <v>14</v>
      </c>
      <c r="E22">
        <v>27405</v>
      </c>
      <c r="F22">
        <v>19588</v>
      </c>
      <c r="G22" t="s">
        <v>10</v>
      </c>
      <c r="H22" t="str">
        <f>TEXT(CleanData[[#This Row],[Date]],"mmm")</f>
        <v>May</v>
      </c>
      <c r="I22">
        <f>WEEKNUM(CleanData[[#This Row],[Date]])</f>
        <v>22</v>
      </c>
      <c r="J22">
        <f>IF(CleanData[[#This Row],[Revenue]]&gt;=CleanData[[#This Row],[Target]],1,0)</f>
        <v>1</v>
      </c>
      <c r="K22">
        <f>IF(CleanData[[#This Row],[Attendance_Status]]="Present",1,0)</f>
        <v>1</v>
      </c>
    </row>
    <row r="23" spans="1:11" x14ac:dyDescent="0.3">
      <c r="A23" t="s">
        <v>49</v>
      </c>
      <c r="B23" t="s">
        <v>50</v>
      </c>
      <c r="C23" t="s">
        <v>9</v>
      </c>
      <c r="D23">
        <v>7</v>
      </c>
      <c r="E23">
        <v>28639</v>
      </c>
      <c r="F23">
        <v>16499</v>
      </c>
      <c r="G23" t="s">
        <v>10</v>
      </c>
      <c r="H23" t="str">
        <f>TEXT(CleanData[[#This Row],[Date]],"mmm")</f>
        <v>Mar</v>
      </c>
      <c r="I23">
        <f>WEEKNUM(CleanData[[#This Row],[Date]])</f>
        <v>10</v>
      </c>
      <c r="J23">
        <f>IF(CleanData[[#This Row],[Revenue]]&gt;=CleanData[[#This Row],[Target]],1,0)</f>
        <v>1</v>
      </c>
      <c r="K23">
        <f>IF(CleanData[[#This Row],[Attendance_Status]]="Present",1,0)</f>
        <v>1</v>
      </c>
    </row>
    <row r="24" spans="1:11" x14ac:dyDescent="0.3">
      <c r="A24" t="s">
        <v>51</v>
      </c>
      <c r="B24" t="s">
        <v>52</v>
      </c>
      <c r="C24" t="s">
        <v>13</v>
      </c>
      <c r="D24">
        <v>6</v>
      </c>
      <c r="E24">
        <v>23952</v>
      </c>
      <c r="F24">
        <v>12581</v>
      </c>
      <c r="G24" t="s">
        <v>10</v>
      </c>
      <c r="H24" t="str">
        <f>TEXT(CleanData[[#This Row],[Date]],"mmm")</f>
        <v>Apr</v>
      </c>
      <c r="I24">
        <f>WEEKNUM(CleanData[[#This Row],[Date]])</f>
        <v>16</v>
      </c>
      <c r="J24">
        <f>IF(CleanData[[#This Row],[Revenue]]&gt;=CleanData[[#This Row],[Target]],1,0)</f>
        <v>1</v>
      </c>
      <c r="K24">
        <f>IF(CleanData[[#This Row],[Attendance_Status]]="Present",1,0)</f>
        <v>1</v>
      </c>
    </row>
    <row r="25" spans="1:11" x14ac:dyDescent="0.3">
      <c r="A25" t="s">
        <v>53</v>
      </c>
      <c r="B25" t="s">
        <v>21</v>
      </c>
      <c r="C25" t="s">
        <v>22</v>
      </c>
      <c r="D25">
        <v>22</v>
      </c>
      <c r="E25">
        <v>24467</v>
      </c>
      <c r="F25">
        <v>23518</v>
      </c>
      <c r="G25" t="s">
        <v>10</v>
      </c>
      <c r="H25" t="str">
        <f>TEXT(CleanData[[#This Row],[Date]],"mmm")</f>
        <v>Jan</v>
      </c>
      <c r="I25">
        <f>WEEKNUM(CleanData[[#This Row],[Date]])</f>
        <v>1</v>
      </c>
      <c r="J25">
        <f>IF(CleanData[[#This Row],[Revenue]]&gt;=CleanData[[#This Row],[Target]],1,0)</f>
        <v>1</v>
      </c>
      <c r="K25">
        <f>IF(CleanData[[#This Row],[Attendance_Status]]="Present",1,0)</f>
        <v>1</v>
      </c>
    </row>
    <row r="26" spans="1:11" x14ac:dyDescent="0.3">
      <c r="A26" t="s">
        <v>28</v>
      </c>
      <c r="B26" t="s">
        <v>54</v>
      </c>
      <c r="C26" t="s">
        <v>13</v>
      </c>
      <c r="D26">
        <v>12</v>
      </c>
      <c r="E26">
        <v>5277</v>
      </c>
      <c r="F26">
        <v>17936</v>
      </c>
      <c r="G26" t="s">
        <v>10</v>
      </c>
      <c r="H26" t="str">
        <f>TEXT(CleanData[[#This Row],[Date]],"mmm")</f>
        <v>Mar</v>
      </c>
      <c r="I26">
        <f>WEEKNUM(CleanData[[#This Row],[Date]])</f>
        <v>12</v>
      </c>
      <c r="J26">
        <f>IF(CleanData[[#This Row],[Revenue]]&gt;=CleanData[[#This Row],[Target]],1,0)</f>
        <v>0</v>
      </c>
      <c r="K26">
        <f>IF(CleanData[[#This Row],[Attendance_Status]]="Present",1,0)</f>
        <v>1</v>
      </c>
    </row>
    <row r="27" spans="1:11" x14ac:dyDescent="0.3">
      <c r="A27" t="s">
        <v>55</v>
      </c>
      <c r="B27" t="s">
        <v>56</v>
      </c>
      <c r="C27" t="s">
        <v>22</v>
      </c>
      <c r="D27">
        <v>24</v>
      </c>
      <c r="E27">
        <v>6673</v>
      </c>
      <c r="F27">
        <v>24855</v>
      </c>
      <c r="G27" t="s">
        <v>10</v>
      </c>
      <c r="H27" t="str">
        <f>TEXT(CleanData[[#This Row],[Date]],"mmm")</f>
        <v>Feb</v>
      </c>
      <c r="I27">
        <f>WEEKNUM(CleanData[[#This Row],[Date]])</f>
        <v>8</v>
      </c>
      <c r="J27">
        <f>IF(CleanData[[#This Row],[Revenue]]&gt;=CleanData[[#This Row],[Target]],1,0)</f>
        <v>0</v>
      </c>
      <c r="K27">
        <f>IF(CleanData[[#This Row],[Attendance_Status]]="Present",1,0)</f>
        <v>1</v>
      </c>
    </row>
    <row r="28" spans="1:11" x14ac:dyDescent="0.3">
      <c r="A28" t="s">
        <v>57</v>
      </c>
      <c r="B28" t="s">
        <v>8</v>
      </c>
      <c r="C28" t="s">
        <v>22</v>
      </c>
      <c r="D28">
        <v>8</v>
      </c>
      <c r="E28">
        <v>8222</v>
      </c>
      <c r="F28">
        <v>10541</v>
      </c>
      <c r="G28" t="s">
        <v>10</v>
      </c>
      <c r="H28" t="str">
        <f>TEXT(CleanData[[#This Row],[Date]],"mmm")</f>
        <v>Jun</v>
      </c>
      <c r="I28">
        <f>WEEKNUM(CleanData[[#This Row],[Date]])</f>
        <v>25</v>
      </c>
      <c r="J28">
        <f>IF(CleanData[[#This Row],[Revenue]]&gt;=CleanData[[#This Row],[Target]],1,0)</f>
        <v>0</v>
      </c>
      <c r="K28">
        <f>IF(CleanData[[#This Row],[Attendance_Status]]="Present",1,0)</f>
        <v>1</v>
      </c>
    </row>
    <row r="29" spans="1:11" x14ac:dyDescent="0.3">
      <c r="A29" t="s">
        <v>58</v>
      </c>
      <c r="B29" t="s">
        <v>17</v>
      </c>
      <c r="C29" t="s">
        <v>9</v>
      </c>
      <c r="D29">
        <v>11</v>
      </c>
      <c r="E29">
        <v>22525</v>
      </c>
      <c r="F29">
        <v>18955</v>
      </c>
      <c r="G29" t="s">
        <v>10</v>
      </c>
      <c r="H29" t="str">
        <f>TEXT(CleanData[[#This Row],[Date]],"mmm")</f>
        <v>May</v>
      </c>
      <c r="I29">
        <f>WEEKNUM(CleanData[[#This Row],[Date]])</f>
        <v>21</v>
      </c>
      <c r="J29">
        <f>IF(CleanData[[#This Row],[Revenue]]&gt;=CleanData[[#This Row],[Target]],1,0)</f>
        <v>1</v>
      </c>
      <c r="K29">
        <f>IF(CleanData[[#This Row],[Attendance_Status]]="Present",1,0)</f>
        <v>1</v>
      </c>
    </row>
    <row r="30" spans="1:11" x14ac:dyDescent="0.3">
      <c r="A30" t="s">
        <v>59</v>
      </c>
      <c r="B30" t="s">
        <v>54</v>
      </c>
      <c r="C30" t="s">
        <v>22</v>
      </c>
      <c r="D30">
        <v>16</v>
      </c>
      <c r="E30">
        <v>28530</v>
      </c>
      <c r="F30">
        <v>16018</v>
      </c>
      <c r="G30" t="s">
        <v>26</v>
      </c>
      <c r="H30" t="str">
        <f>TEXT(CleanData[[#This Row],[Date]],"mmm")</f>
        <v>Mar</v>
      </c>
      <c r="I30">
        <f>WEEKNUM(CleanData[[#This Row],[Date]])</f>
        <v>12</v>
      </c>
      <c r="J30">
        <f>IF(CleanData[[#This Row],[Revenue]]&gt;=CleanData[[#This Row],[Target]],1,0)</f>
        <v>1</v>
      </c>
      <c r="K30">
        <f>IF(CleanData[[#This Row],[Attendance_Status]]="Present",1,0)</f>
        <v>0</v>
      </c>
    </row>
    <row r="31" spans="1:11" x14ac:dyDescent="0.3">
      <c r="A31" t="s">
        <v>57</v>
      </c>
      <c r="B31" t="s">
        <v>15</v>
      </c>
      <c r="C31" t="s">
        <v>9</v>
      </c>
      <c r="D31">
        <v>23</v>
      </c>
      <c r="E31">
        <v>15393</v>
      </c>
      <c r="F31">
        <v>17092</v>
      </c>
      <c r="G31" t="s">
        <v>10</v>
      </c>
      <c r="H31" t="str">
        <f>TEXT(CleanData[[#This Row],[Date]],"mmm")</f>
        <v>Jun</v>
      </c>
      <c r="I31">
        <f>WEEKNUM(CleanData[[#This Row],[Date]])</f>
        <v>25</v>
      </c>
      <c r="J31">
        <f>IF(CleanData[[#This Row],[Revenue]]&gt;=CleanData[[#This Row],[Target]],1,0)</f>
        <v>0</v>
      </c>
      <c r="K31">
        <f>IF(CleanData[[#This Row],[Attendance_Status]]="Present",1,0)</f>
        <v>1</v>
      </c>
    </row>
    <row r="32" spans="1:11" x14ac:dyDescent="0.3">
      <c r="A32" t="s">
        <v>60</v>
      </c>
      <c r="B32" t="s">
        <v>29</v>
      </c>
      <c r="C32" t="s">
        <v>13</v>
      </c>
      <c r="D32">
        <v>18</v>
      </c>
      <c r="E32">
        <v>28077</v>
      </c>
      <c r="F32">
        <v>12397</v>
      </c>
      <c r="G32" t="s">
        <v>10</v>
      </c>
      <c r="H32" t="str">
        <f>TEXT(CleanData[[#This Row],[Date]],"mmm")</f>
        <v>May</v>
      </c>
      <c r="I32">
        <f>WEEKNUM(CleanData[[#This Row],[Date]])</f>
        <v>18</v>
      </c>
      <c r="J32">
        <f>IF(CleanData[[#This Row],[Revenue]]&gt;=CleanData[[#This Row],[Target]],1,0)</f>
        <v>1</v>
      </c>
      <c r="K32">
        <f>IF(CleanData[[#This Row],[Attendance_Status]]="Present",1,0)</f>
        <v>1</v>
      </c>
    </row>
    <row r="33" spans="1:11" x14ac:dyDescent="0.3">
      <c r="A33" t="s">
        <v>61</v>
      </c>
      <c r="B33" t="s">
        <v>25</v>
      </c>
      <c r="C33" t="s">
        <v>22</v>
      </c>
      <c r="D33">
        <v>23</v>
      </c>
      <c r="E33">
        <v>25414</v>
      </c>
      <c r="F33">
        <v>20558</v>
      </c>
      <c r="G33" t="s">
        <v>10</v>
      </c>
      <c r="H33" t="str">
        <f>TEXT(CleanData[[#This Row],[Date]],"mmm")</f>
        <v>Jan</v>
      </c>
      <c r="I33">
        <f>WEEKNUM(CleanData[[#This Row],[Date]])</f>
        <v>4</v>
      </c>
      <c r="J33">
        <f>IF(CleanData[[#This Row],[Revenue]]&gt;=CleanData[[#This Row],[Target]],1,0)</f>
        <v>1</v>
      </c>
      <c r="K33">
        <f>IF(CleanData[[#This Row],[Attendance_Status]]="Present",1,0)</f>
        <v>1</v>
      </c>
    </row>
    <row r="34" spans="1:11" x14ac:dyDescent="0.3">
      <c r="A34" t="s">
        <v>62</v>
      </c>
      <c r="B34" t="s">
        <v>37</v>
      </c>
      <c r="C34" t="s">
        <v>13</v>
      </c>
      <c r="D34">
        <v>24</v>
      </c>
      <c r="E34">
        <v>13226</v>
      </c>
      <c r="F34">
        <v>10517</v>
      </c>
      <c r="G34" t="s">
        <v>10</v>
      </c>
      <c r="H34" t="str">
        <f>TEXT(CleanData[[#This Row],[Date]],"mmm")</f>
        <v>Jan</v>
      </c>
      <c r="I34">
        <f>WEEKNUM(CleanData[[#This Row],[Date]])</f>
        <v>4</v>
      </c>
      <c r="J34">
        <f>IF(CleanData[[#This Row],[Revenue]]&gt;=CleanData[[#This Row],[Target]],1,0)</f>
        <v>1</v>
      </c>
      <c r="K34">
        <f>IF(CleanData[[#This Row],[Attendance_Status]]="Present",1,0)</f>
        <v>1</v>
      </c>
    </row>
    <row r="35" spans="1:11" x14ac:dyDescent="0.3">
      <c r="A35" t="s">
        <v>63</v>
      </c>
      <c r="B35" t="s">
        <v>64</v>
      </c>
      <c r="C35" t="s">
        <v>9</v>
      </c>
      <c r="D35">
        <v>16</v>
      </c>
      <c r="E35">
        <v>11736</v>
      </c>
      <c r="F35">
        <v>12531</v>
      </c>
      <c r="G35" t="s">
        <v>10</v>
      </c>
      <c r="H35" t="str">
        <f>TEXT(CleanData[[#This Row],[Date]],"mmm")</f>
        <v>Jun</v>
      </c>
      <c r="I35">
        <f>WEEKNUM(CleanData[[#This Row],[Date]])</f>
        <v>24</v>
      </c>
      <c r="J35">
        <f>IF(CleanData[[#This Row],[Revenue]]&gt;=CleanData[[#This Row],[Target]],1,0)</f>
        <v>0</v>
      </c>
      <c r="K35">
        <f>IF(CleanData[[#This Row],[Attendance_Status]]="Present",1,0)</f>
        <v>1</v>
      </c>
    </row>
    <row r="36" spans="1:11" x14ac:dyDescent="0.3">
      <c r="A36" t="s">
        <v>65</v>
      </c>
      <c r="B36" t="s">
        <v>17</v>
      </c>
      <c r="C36" t="s">
        <v>9</v>
      </c>
      <c r="D36">
        <v>9</v>
      </c>
      <c r="E36">
        <v>5452</v>
      </c>
      <c r="F36">
        <v>10980</v>
      </c>
      <c r="G36" t="s">
        <v>10</v>
      </c>
      <c r="H36" t="str">
        <f>TEXT(CleanData[[#This Row],[Date]],"mmm")</f>
        <v>Apr</v>
      </c>
      <c r="I36">
        <f>WEEKNUM(CleanData[[#This Row],[Date]])</f>
        <v>14</v>
      </c>
      <c r="J36">
        <f>IF(CleanData[[#This Row],[Revenue]]&gt;=CleanData[[#This Row],[Target]],1,0)</f>
        <v>0</v>
      </c>
      <c r="K36">
        <f>IF(CleanData[[#This Row],[Attendance_Status]]="Present",1,0)</f>
        <v>1</v>
      </c>
    </row>
    <row r="37" spans="1:11" x14ac:dyDescent="0.3">
      <c r="A37" t="s">
        <v>66</v>
      </c>
      <c r="B37" t="s">
        <v>67</v>
      </c>
      <c r="C37" t="s">
        <v>13</v>
      </c>
      <c r="D37">
        <v>16</v>
      </c>
      <c r="E37">
        <v>29055</v>
      </c>
      <c r="F37">
        <v>20970</v>
      </c>
      <c r="G37" t="s">
        <v>10</v>
      </c>
      <c r="H37" t="str">
        <f>TEXT(CleanData[[#This Row],[Date]],"mmm")</f>
        <v>Jun</v>
      </c>
      <c r="I37">
        <f>WEEKNUM(CleanData[[#This Row],[Date]])</f>
        <v>24</v>
      </c>
      <c r="J37">
        <f>IF(CleanData[[#This Row],[Revenue]]&gt;=CleanData[[#This Row],[Target]],1,0)</f>
        <v>1</v>
      </c>
      <c r="K37">
        <f>IF(CleanData[[#This Row],[Attendance_Status]]="Present",1,0)</f>
        <v>1</v>
      </c>
    </row>
    <row r="38" spans="1:11" x14ac:dyDescent="0.3">
      <c r="A38" t="s">
        <v>68</v>
      </c>
      <c r="B38" t="s">
        <v>69</v>
      </c>
      <c r="C38" t="s">
        <v>9</v>
      </c>
      <c r="D38">
        <v>5</v>
      </c>
      <c r="E38">
        <v>28351</v>
      </c>
      <c r="F38">
        <v>12708</v>
      </c>
      <c r="G38" t="s">
        <v>10</v>
      </c>
      <c r="H38" t="str">
        <f>TEXT(CleanData[[#This Row],[Date]],"mmm")</f>
        <v>Jun</v>
      </c>
      <c r="I38">
        <f>WEEKNUM(CleanData[[#This Row],[Date]])</f>
        <v>25</v>
      </c>
      <c r="J38">
        <f>IF(CleanData[[#This Row],[Revenue]]&gt;=CleanData[[#This Row],[Target]],1,0)</f>
        <v>1</v>
      </c>
      <c r="K38">
        <f>IF(CleanData[[#This Row],[Attendance_Status]]="Present",1,0)</f>
        <v>1</v>
      </c>
    </row>
    <row r="39" spans="1:11" x14ac:dyDescent="0.3">
      <c r="A39" t="s">
        <v>70</v>
      </c>
      <c r="B39" t="s">
        <v>33</v>
      </c>
      <c r="C39" t="s">
        <v>9</v>
      </c>
      <c r="D39">
        <v>11</v>
      </c>
      <c r="E39">
        <v>10574</v>
      </c>
      <c r="F39">
        <v>15599</v>
      </c>
      <c r="G39" t="s">
        <v>26</v>
      </c>
      <c r="H39" t="str">
        <f>TEXT(CleanData[[#This Row],[Date]],"mmm")</f>
        <v>May</v>
      </c>
      <c r="I39">
        <f>WEEKNUM(CleanData[[#This Row],[Date]])</f>
        <v>19</v>
      </c>
      <c r="J39">
        <f>IF(CleanData[[#This Row],[Revenue]]&gt;=CleanData[[#This Row],[Target]],1,0)</f>
        <v>0</v>
      </c>
      <c r="K39">
        <f>IF(CleanData[[#This Row],[Attendance_Status]]="Present",1,0)</f>
        <v>0</v>
      </c>
    </row>
    <row r="40" spans="1:11" x14ac:dyDescent="0.3">
      <c r="A40" t="s">
        <v>71</v>
      </c>
      <c r="B40" t="s">
        <v>52</v>
      </c>
      <c r="C40" t="s">
        <v>9</v>
      </c>
      <c r="D40">
        <v>25</v>
      </c>
      <c r="E40">
        <v>10711</v>
      </c>
      <c r="F40">
        <v>15468</v>
      </c>
      <c r="G40" t="s">
        <v>10</v>
      </c>
      <c r="H40" t="str">
        <f>TEXT(CleanData[[#This Row],[Date]],"mmm")</f>
        <v>Apr</v>
      </c>
      <c r="I40">
        <f>WEEKNUM(CleanData[[#This Row],[Date]])</f>
        <v>14</v>
      </c>
      <c r="J40">
        <f>IF(CleanData[[#This Row],[Revenue]]&gt;=CleanData[[#This Row],[Target]],1,0)</f>
        <v>0</v>
      </c>
      <c r="K40">
        <f>IF(CleanData[[#This Row],[Attendance_Status]]="Present",1,0)</f>
        <v>1</v>
      </c>
    </row>
    <row r="41" spans="1:11" x14ac:dyDescent="0.3">
      <c r="A41" t="s">
        <v>72</v>
      </c>
      <c r="B41" t="s">
        <v>73</v>
      </c>
      <c r="C41" t="s">
        <v>9</v>
      </c>
      <c r="D41">
        <v>14</v>
      </c>
      <c r="E41">
        <v>25604</v>
      </c>
      <c r="F41">
        <v>17850</v>
      </c>
      <c r="G41" t="s">
        <v>10</v>
      </c>
      <c r="H41" t="str">
        <f>TEXT(CleanData[[#This Row],[Date]],"mmm")</f>
        <v>Mar</v>
      </c>
      <c r="I41">
        <f>WEEKNUM(CleanData[[#This Row],[Date]])</f>
        <v>10</v>
      </c>
      <c r="J41">
        <f>IF(CleanData[[#This Row],[Revenue]]&gt;=CleanData[[#This Row],[Target]],1,0)</f>
        <v>1</v>
      </c>
      <c r="K41">
        <f>IF(CleanData[[#This Row],[Attendance_Status]]="Present",1,0)</f>
        <v>1</v>
      </c>
    </row>
    <row r="42" spans="1:11" x14ac:dyDescent="0.3">
      <c r="A42" t="s">
        <v>74</v>
      </c>
      <c r="B42" t="s">
        <v>75</v>
      </c>
      <c r="C42" t="s">
        <v>22</v>
      </c>
      <c r="D42">
        <v>13</v>
      </c>
      <c r="E42">
        <v>14623</v>
      </c>
      <c r="F42">
        <v>13683</v>
      </c>
      <c r="G42" t="s">
        <v>10</v>
      </c>
      <c r="H42" t="str">
        <f>TEXT(CleanData[[#This Row],[Date]],"mmm")</f>
        <v>Jun</v>
      </c>
      <c r="I42">
        <f>WEEKNUM(CleanData[[#This Row],[Date]])</f>
        <v>26</v>
      </c>
      <c r="J42">
        <f>IF(CleanData[[#This Row],[Revenue]]&gt;=CleanData[[#This Row],[Target]],1,0)</f>
        <v>1</v>
      </c>
      <c r="K42">
        <f>IF(CleanData[[#This Row],[Attendance_Status]]="Present",1,0)</f>
        <v>1</v>
      </c>
    </row>
    <row r="43" spans="1:11" x14ac:dyDescent="0.3">
      <c r="A43" t="s">
        <v>76</v>
      </c>
      <c r="B43" t="s">
        <v>40</v>
      </c>
      <c r="C43" t="s">
        <v>22</v>
      </c>
      <c r="D43">
        <v>16</v>
      </c>
      <c r="E43">
        <v>12582</v>
      </c>
      <c r="F43">
        <v>24769</v>
      </c>
      <c r="G43" t="s">
        <v>10</v>
      </c>
      <c r="H43" t="str">
        <f>TEXT(CleanData[[#This Row],[Date]],"mmm")</f>
        <v>Feb</v>
      </c>
      <c r="I43">
        <f>WEEKNUM(CleanData[[#This Row],[Date]])</f>
        <v>9</v>
      </c>
      <c r="J43">
        <f>IF(CleanData[[#This Row],[Revenue]]&gt;=CleanData[[#This Row],[Target]],1,0)</f>
        <v>0</v>
      </c>
      <c r="K43">
        <f>IF(CleanData[[#This Row],[Attendance_Status]]="Present",1,0)</f>
        <v>1</v>
      </c>
    </row>
    <row r="44" spans="1:11" x14ac:dyDescent="0.3">
      <c r="A44" t="s">
        <v>77</v>
      </c>
      <c r="B44" t="s">
        <v>40</v>
      </c>
      <c r="C44" t="s">
        <v>22</v>
      </c>
      <c r="D44">
        <v>24</v>
      </c>
      <c r="E44">
        <v>22409</v>
      </c>
      <c r="F44">
        <v>20924</v>
      </c>
      <c r="G44" t="s">
        <v>10</v>
      </c>
      <c r="H44" t="str">
        <f>TEXT(CleanData[[#This Row],[Date]],"mmm")</f>
        <v>Jun</v>
      </c>
      <c r="I44">
        <f>WEEKNUM(CleanData[[#This Row],[Date]])</f>
        <v>24</v>
      </c>
      <c r="J44">
        <f>IF(CleanData[[#This Row],[Revenue]]&gt;=CleanData[[#This Row],[Target]],1,0)</f>
        <v>1</v>
      </c>
      <c r="K44">
        <f>IF(CleanData[[#This Row],[Attendance_Status]]="Present",1,0)</f>
        <v>1</v>
      </c>
    </row>
    <row r="45" spans="1:11" x14ac:dyDescent="0.3">
      <c r="A45" t="s">
        <v>43</v>
      </c>
      <c r="B45" t="s">
        <v>52</v>
      </c>
      <c r="C45" t="s">
        <v>9</v>
      </c>
      <c r="D45">
        <v>22</v>
      </c>
      <c r="E45">
        <v>29044</v>
      </c>
      <c r="F45">
        <v>10517</v>
      </c>
      <c r="G45" t="s">
        <v>10</v>
      </c>
      <c r="H45" t="str">
        <f>TEXT(CleanData[[#This Row],[Date]],"mmm")</f>
        <v>Feb</v>
      </c>
      <c r="I45">
        <f>WEEKNUM(CleanData[[#This Row],[Date]])</f>
        <v>8</v>
      </c>
      <c r="J45">
        <f>IF(CleanData[[#This Row],[Revenue]]&gt;=CleanData[[#This Row],[Target]],1,0)</f>
        <v>1</v>
      </c>
      <c r="K45">
        <f>IF(CleanData[[#This Row],[Attendance_Status]]="Present",1,0)</f>
        <v>1</v>
      </c>
    </row>
    <row r="46" spans="1:11" x14ac:dyDescent="0.3">
      <c r="A46" t="s">
        <v>78</v>
      </c>
      <c r="B46" t="s">
        <v>79</v>
      </c>
      <c r="C46" t="s">
        <v>13</v>
      </c>
      <c r="D46">
        <v>25</v>
      </c>
      <c r="E46">
        <v>11671</v>
      </c>
      <c r="F46">
        <v>13395</v>
      </c>
      <c r="G46" t="s">
        <v>10</v>
      </c>
      <c r="H46" t="str">
        <f>TEXT(CleanData[[#This Row],[Date]],"mmm")</f>
        <v>Apr</v>
      </c>
      <c r="I46">
        <f>WEEKNUM(CleanData[[#This Row],[Date]])</f>
        <v>15</v>
      </c>
      <c r="J46">
        <f>IF(CleanData[[#This Row],[Revenue]]&gt;=CleanData[[#This Row],[Target]],1,0)</f>
        <v>0</v>
      </c>
      <c r="K46">
        <f>IF(CleanData[[#This Row],[Attendance_Status]]="Present",1,0)</f>
        <v>1</v>
      </c>
    </row>
    <row r="47" spans="1:11" x14ac:dyDescent="0.3">
      <c r="A47" t="s">
        <v>80</v>
      </c>
      <c r="B47" t="s">
        <v>75</v>
      </c>
      <c r="C47" t="s">
        <v>13</v>
      </c>
      <c r="D47">
        <v>9</v>
      </c>
      <c r="E47">
        <v>23626</v>
      </c>
      <c r="F47">
        <v>18851</v>
      </c>
      <c r="G47" t="s">
        <v>10</v>
      </c>
      <c r="H47" t="str">
        <f>TEXT(CleanData[[#This Row],[Date]],"mmm")</f>
        <v>May</v>
      </c>
      <c r="I47">
        <f>WEEKNUM(CleanData[[#This Row],[Date]])</f>
        <v>21</v>
      </c>
      <c r="J47">
        <f>IF(CleanData[[#This Row],[Revenue]]&gt;=CleanData[[#This Row],[Target]],1,0)</f>
        <v>1</v>
      </c>
      <c r="K47">
        <f>IF(CleanData[[#This Row],[Attendance_Status]]="Present",1,0)</f>
        <v>1</v>
      </c>
    </row>
    <row r="48" spans="1:11" x14ac:dyDescent="0.3">
      <c r="A48" t="s">
        <v>81</v>
      </c>
      <c r="B48" t="s">
        <v>29</v>
      </c>
      <c r="C48" t="s">
        <v>22</v>
      </c>
      <c r="D48">
        <v>14</v>
      </c>
      <c r="E48">
        <v>7824</v>
      </c>
      <c r="F48">
        <v>15215</v>
      </c>
      <c r="G48" t="s">
        <v>10</v>
      </c>
      <c r="H48" t="str">
        <f>TEXT(CleanData[[#This Row],[Date]],"mmm")</f>
        <v>Feb</v>
      </c>
      <c r="I48">
        <f>WEEKNUM(CleanData[[#This Row],[Date]])</f>
        <v>7</v>
      </c>
      <c r="J48">
        <f>IF(CleanData[[#This Row],[Revenue]]&gt;=CleanData[[#This Row],[Target]],1,0)</f>
        <v>0</v>
      </c>
      <c r="K48">
        <f>IF(CleanData[[#This Row],[Attendance_Status]]="Present",1,0)</f>
        <v>1</v>
      </c>
    </row>
    <row r="49" spans="1:11" x14ac:dyDescent="0.3">
      <c r="A49" t="s">
        <v>82</v>
      </c>
      <c r="B49" t="s">
        <v>50</v>
      </c>
      <c r="C49" t="s">
        <v>9</v>
      </c>
      <c r="D49">
        <v>17</v>
      </c>
      <c r="E49">
        <v>25031</v>
      </c>
      <c r="F49">
        <v>13147</v>
      </c>
      <c r="G49" t="s">
        <v>10</v>
      </c>
      <c r="H49" t="str">
        <f>TEXT(CleanData[[#This Row],[Date]],"mmm")</f>
        <v>Jan</v>
      </c>
      <c r="I49">
        <f>WEEKNUM(CleanData[[#This Row],[Date]])</f>
        <v>2</v>
      </c>
      <c r="J49">
        <f>IF(CleanData[[#This Row],[Revenue]]&gt;=CleanData[[#This Row],[Target]],1,0)</f>
        <v>1</v>
      </c>
      <c r="K49">
        <f>IF(CleanData[[#This Row],[Attendance_Status]]="Present",1,0)</f>
        <v>1</v>
      </c>
    </row>
    <row r="50" spans="1:11" x14ac:dyDescent="0.3">
      <c r="A50" t="s">
        <v>83</v>
      </c>
      <c r="B50" t="s">
        <v>54</v>
      </c>
      <c r="C50" t="s">
        <v>13</v>
      </c>
      <c r="D50">
        <v>25</v>
      </c>
      <c r="E50">
        <v>15641</v>
      </c>
      <c r="F50">
        <v>18608</v>
      </c>
      <c r="G50" t="s">
        <v>10</v>
      </c>
      <c r="H50" t="str">
        <f>TEXT(CleanData[[#This Row],[Date]],"mmm")</f>
        <v>Mar</v>
      </c>
      <c r="I50">
        <f>WEEKNUM(CleanData[[#This Row],[Date]])</f>
        <v>10</v>
      </c>
      <c r="J50">
        <f>IF(CleanData[[#This Row],[Revenue]]&gt;=CleanData[[#This Row],[Target]],1,0)</f>
        <v>0</v>
      </c>
      <c r="K50">
        <f>IF(CleanData[[#This Row],[Attendance_Status]]="Present",1,0)</f>
        <v>1</v>
      </c>
    </row>
    <row r="51" spans="1:11" x14ac:dyDescent="0.3">
      <c r="A51" t="s">
        <v>84</v>
      </c>
      <c r="B51" t="s">
        <v>37</v>
      </c>
      <c r="C51" t="s">
        <v>22</v>
      </c>
      <c r="D51">
        <v>24</v>
      </c>
      <c r="E51">
        <v>29910</v>
      </c>
      <c r="F51">
        <v>18069</v>
      </c>
      <c r="G51" t="s">
        <v>10</v>
      </c>
      <c r="H51" t="str">
        <f>TEXT(CleanData[[#This Row],[Date]],"mmm")</f>
        <v>May</v>
      </c>
      <c r="I51">
        <f>WEEKNUM(CleanData[[#This Row],[Date]])</f>
        <v>19</v>
      </c>
      <c r="J51">
        <f>IF(CleanData[[#This Row],[Revenue]]&gt;=CleanData[[#This Row],[Target]],1,0)</f>
        <v>1</v>
      </c>
      <c r="K51">
        <f>IF(CleanData[[#This Row],[Attendance_Status]]="Present",1,0)</f>
        <v>1</v>
      </c>
    </row>
    <row r="52" spans="1:11" x14ac:dyDescent="0.3">
      <c r="A52" t="s">
        <v>85</v>
      </c>
      <c r="B52" t="s">
        <v>73</v>
      </c>
      <c r="C52" t="s">
        <v>9</v>
      </c>
      <c r="D52">
        <v>18</v>
      </c>
      <c r="E52">
        <v>15633</v>
      </c>
      <c r="F52">
        <v>10198</v>
      </c>
      <c r="G52" t="s">
        <v>10</v>
      </c>
      <c r="H52" t="str">
        <f>TEXT(CleanData[[#This Row],[Date]],"mmm")</f>
        <v>Apr</v>
      </c>
      <c r="I52">
        <f>WEEKNUM(CleanData[[#This Row],[Date]])</f>
        <v>18</v>
      </c>
      <c r="J52">
        <f>IF(CleanData[[#This Row],[Revenue]]&gt;=CleanData[[#This Row],[Target]],1,0)</f>
        <v>1</v>
      </c>
      <c r="K52">
        <f>IF(CleanData[[#This Row],[Attendance_Status]]="Present",1,0)</f>
        <v>1</v>
      </c>
    </row>
    <row r="53" spans="1:11" x14ac:dyDescent="0.3">
      <c r="A53" t="s">
        <v>86</v>
      </c>
      <c r="B53" t="s">
        <v>42</v>
      </c>
      <c r="C53" t="s">
        <v>13</v>
      </c>
      <c r="D53">
        <v>12</v>
      </c>
      <c r="E53">
        <v>24223</v>
      </c>
      <c r="F53">
        <v>20446</v>
      </c>
      <c r="G53" t="s">
        <v>10</v>
      </c>
      <c r="H53" t="str">
        <f>TEXT(CleanData[[#This Row],[Date]],"mmm")</f>
        <v>Apr</v>
      </c>
      <c r="I53">
        <f>WEEKNUM(CleanData[[#This Row],[Date]])</f>
        <v>16</v>
      </c>
      <c r="J53">
        <f>IF(CleanData[[#This Row],[Revenue]]&gt;=CleanData[[#This Row],[Target]],1,0)</f>
        <v>1</v>
      </c>
      <c r="K53">
        <f>IF(CleanData[[#This Row],[Attendance_Status]]="Present",1,0)</f>
        <v>1</v>
      </c>
    </row>
    <row r="54" spans="1:11" x14ac:dyDescent="0.3">
      <c r="A54" t="s">
        <v>87</v>
      </c>
      <c r="B54" t="s">
        <v>37</v>
      </c>
      <c r="C54" t="s">
        <v>13</v>
      </c>
      <c r="D54">
        <v>9</v>
      </c>
      <c r="E54">
        <v>10631</v>
      </c>
      <c r="F54">
        <v>14980</v>
      </c>
      <c r="G54" t="s">
        <v>10</v>
      </c>
      <c r="H54" t="str">
        <f>TEXT(CleanData[[#This Row],[Date]],"mmm")</f>
        <v>May</v>
      </c>
      <c r="I54">
        <f>WEEKNUM(CleanData[[#This Row],[Date]])</f>
        <v>18</v>
      </c>
      <c r="J54">
        <f>IF(CleanData[[#This Row],[Revenue]]&gt;=CleanData[[#This Row],[Target]],1,0)</f>
        <v>0</v>
      </c>
      <c r="K54">
        <f>IF(CleanData[[#This Row],[Attendance_Status]]="Present",1,0)</f>
        <v>1</v>
      </c>
    </row>
    <row r="55" spans="1:11" x14ac:dyDescent="0.3">
      <c r="A55" t="s">
        <v>88</v>
      </c>
      <c r="B55" t="s">
        <v>12</v>
      </c>
      <c r="C55" t="s">
        <v>13</v>
      </c>
      <c r="D55">
        <v>6</v>
      </c>
      <c r="E55">
        <v>9809</v>
      </c>
      <c r="F55">
        <v>21700</v>
      </c>
      <c r="G55" t="s">
        <v>10</v>
      </c>
      <c r="H55" t="str">
        <f>TEXT(CleanData[[#This Row],[Date]],"mmm")</f>
        <v>Jun</v>
      </c>
      <c r="I55">
        <f>WEEKNUM(CleanData[[#This Row],[Date]])</f>
        <v>26</v>
      </c>
      <c r="J55">
        <f>IF(CleanData[[#This Row],[Revenue]]&gt;=CleanData[[#This Row],[Target]],1,0)</f>
        <v>0</v>
      </c>
      <c r="K55">
        <f>IF(CleanData[[#This Row],[Attendance_Status]]="Present",1,0)</f>
        <v>1</v>
      </c>
    </row>
    <row r="56" spans="1:11" x14ac:dyDescent="0.3">
      <c r="A56" t="s">
        <v>89</v>
      </c>
      <c r="B56" t="s">
        <v>46</v>
      </c>
      <c r="C56" t="s">
        <v>9</v>
      </c>
      <c r="D56">
        <v>10</v>
      </c>
      <c r="E56">
        <v>22425</v>
      </c>
      <c r="F56">
        <v>24803</v>
      </c>
      <c r="G56" t="s">
        <v>10</v>
      </c>
      <c r="H56" t="str">
        <f>TEXT(CleanData[[#This Row],[Date]],"mmm")</f>
        <v>Jun</v>
      </c>
      <c r="I56">
        <f>WEEKNUM(CleanData[[#This Row],[Date]])</f>
        <v>23</v>
      </c>
      <c r="J56">
        <f>IF(CleanData[[#This Row],[Revenue]]&gt;=CleanData[[#This Row],[Target]],1,0)</f>
        <v>0</v>
      </c>
      <c r="K56">
        <f>IF(CleanData[[#This Row],[Attendance_Status]]="Present",1,0)</f>
        <v>1</v>
      </c>
    </row>
    <row r="57" spans="1:11" x14ac:dyDescent="0.3">
      <c r="A57" t="s">
        <v>90</v>
      </c>
      <c r="B57" t="s">
        <v>35</v>
      </c>
      <c r="C57" t="s">
        <v>13</v>
      </c>
      <c r="D57">
        <v>17</v>
      </c>
      <c r="E57">
        <v>20824</v>
      </c>
      <c r="F57">
        <v>10769</v>
      </c>
      <c r="G57" t="s">
        <v>26</v>
      </c>
      <c r="H57" t="str">
        <f>TEXT(CleanData[[#This Row],[Date]],"mmm")</f>
        <v>May</v>
      </c>
      <c r="I57">
        <f>WEEKNUM(CleanData[[#This Row],[Date]])</f>
        <v>19</v>
      </c>
      <c r="J57">
        <f>IF(CleanData[[#This Row],[Revenue]]&gt;=CleanData[[#This Row],[Target]],1,0)</f>
        <v>1</v>
      </c>
      <c r="K57">
        <f>IF(CleanData[[#This Row],[Attendance_Status]]="Present",1,0)</f>
        <v>0</v>
      </c>
    </row>
    <row r="58" spans="1:11" x14ac:dyDescent="0.3">
      <c r="A58" t="s">
        <v>82</v>
      </c>
      <c r="B58" t="s">
        <v>75</v>
      </c>
      <c r="C58" t="s">
        <v>9</v>
      </c>
      <c r="D58">
        <v>11</v>
      </c>
      <c r="E58">
        <v>7988</v>
      </c>
      <c r="F58">
        <v>21840</v>
      </c>
      <c r="G58" t="s">
        <v>10</v>
      </c>
      <c r="H58" t="str">
        <f>TEXT(CleanData[[#This Row],[Date]],"mmm")</f>
        <v>Jan</v>
      </c>
      <c r="I58">
        <f>WEEKNUM(CleanData[[#This Row],[Date]])</f>
        <v>2</v>
      </c>
      <c r="J58">
        <f>IF(CleanData[[#This Row],[Revenue]]&gt;=CleanData[[#This Row],[Target]],1,0)</f>
        <v>0</v>
      </c>
      <c r="K58">
        <f>IF(CleanData[[#This Row],[Attendance_Status]]="Present",1,0)</f>
        <v>1</v>
      </c>
    </row>
    <row r="59" spans="1:11" x14ac:dyDescent="0.3">
      <c r="A59" t="s">
        <v>91</v>
      </c>
      <c r="B59" t="s">
        <v>92</v>
      </c>
      <c r="C59" t="s">
        <v>9</v>
      </c>
      <c r="D59">
        <v>13</v>
      </c>
      <c r="E59">
        <v>14575</v>
      </c>
      <c r="F59">
        <v>24859</v>
      </c>
      <c r="G59" t="s">
        <v>10</v>
      </c>
      <c r="H59" t="str">
        <f>TEXT(CleanData[[#This Row],[Date]],"mmm")</f>
        <v>Jan</v>
      </c>
      <c r="I59">
        <f>WEEKNUM(CleanData[[#This Row],[Date]])</f>
        <v>4</v>
      </c>
      <c r="J59">
        <f>IF(CleanData[[#This Row],[Revenue]]&gt;=CleanData[[#This Row],[Target]],1,0)</f>
        <v>0</v>
      </c>
      <c r="K59">
        <f>IF(CleanData[[#This Row],[Attendance_Status]]="Present",1,0)</f>
        <v>1</v>
      </c>
    </row>
    <row r="60" spans="1:11" x14ac:dyDescent="0.3">
      <c r="A60" t="s">
        <v>65</v>
      </c>
      <c r="B60" t="s">
        <v>73</v>
      </c>
      <c r="C60" t="s">
        <v>9</v>
      </c>
      <c r="D60">
        <v>24</v>
      </c>
      <c r="E60">
        <v>19687</v>
      </c>
      <c r="F60">
        <v>22753</v>
      </c>
      <c r="G60" t="s">
        <v>10</v>
      </c>
      <c r="H60" t="str">
        <f>TEXT(CleanData[[#This Row],[Date]],"mmm")</f>
        <v>Apr</v>
      </c>
      <c r="I60">
        <f>WEEKNUM(CleanData[[#This Row],[Date]])</f>
        <v>14</v>
      </c>
      <c r="J60">
        <f>IF(CleanData[[#This Row],[Revenue]]&gt;=CleanData[[#This Row],[Target]],1,0)</f>
        <v>0</v>
      </c>
      <c r="K60">
        <f>IF(CleanData[[#This Row],[Attendance_Status]]="Present",1,0)</f>
        <v>1</v>
      </c>
    </row>
    <row r="61" spans="1:11" x14ac:dyDescent="0.3">
      <c r="A61" t="s">
        <v>93</v>
      </c>
      <c r="B61" t="s">
        <v>27</v>
      </c>
      <c r="C61" t="s">
        <v>22</v>
      </c>
      <c r="D61">
        <v>22</v>
      </c>
      <c r="E61">
        <v>20640</v>
      </c>
      <c r="F61">
        <v>17788</v>
      </c>
      <c r="G61" t="s">
        <v>10</v>
      </c>
      <c r="H61" t="str">
        <f>TEXT(CleanData[[#This Row],[Date]],"mmm")</f>
        <v>Mar</v>
      </c>
      <c r="I61">
        <f>WEEKNUM(CleanData[[#This Row],[Date]])</f>
        <v>12</v>
      </c>
      <c r="J61">
        <f>IF(CleanData[[#This Row],[Revenue]]&gt;=CleanData[[#This Row],[Target]],1,0)</f>
        <v>1</v>
      </c>
      <c r="K61">
        <f>IF(CleanData[[#This Row],[Attendance_Status]]="Present",1,0)</f>
        <v>1</v>
      </c>
    </row>
    <row r="62" spans="1:11" x14ac:dyDescent="0.3">
      <c r="A62" t="s">
        <v>41</v>
      </c>
      <c r="B62" t="s">
        <v>56</v>
      </c>
      <c r="C62" t="s">
        <v>13</v>
      </c>
      <c r="D62">
        <v>21</v>
      </c>
      <c r="E62">
        <v>14063</v>
      </c>
      <c r="F62">
        <v>19286</v>
      </c>
      <c r="G62" t="s">
        <v>10</v>
      </c>
      <c r="H62" t="str">
        <f>TEXT(CleanData[[#This Row],[Date]],"mmm")</f>
        <v>Jun</v>
      </c>
      <c r="I62">
        <f>WEEKNUM(CleanData[[#This Row],[Date]])</f>
        <v>26</v>
      </c>
      <c r="J62">
        <f>IF(CleanData[[#This Row],[Revenue]]&gt;=CleanData[[#This Row],[Target]],1,0)</f>
        <v>0</v>
      </c>
      <c r="K62">
        <f>IF(CleanData[[#This Row],[Attendance_Status]]="Present",1,0)</f>
        <v>1</v>
      </c>
    </row>
    <row r="63" spans="1:11" x14ac:dyDescent="0.3">
      <c r="A63" t="s">
        <v>94</v>
      </c>
      <c r="B63" t="s">
        <v>35</v>
      </c>
      <c r="C63" t="s">
        <v>9</v>
      </c>
      <c r="D63">
        <v>17</v>
      </c>
      <c r="E63">
        <v>23640</v>
      </c>
      <c r="F63">
        <v>24540</v>
      </c>
      <c r="G63" t="s">
        <v>10</v>
      </c>
      <c r="H63" t="str">
        <f>TEXT(CleanData[[#This Row],[Date]],"mmm")</f>
        <v>Feb</v>
      </c>
      <c r="I63">
        <f>WEEKNUM(CleanData[[#This Row],[Date]])</f>
        <v>5</v>
      </c>
      <c r="J63">
        <f>IF(CleanData[[#This Row],[Revenue]]&gt;=CleanData[[#This Row],[Target]],1,0)</f>
        <v>0</v>
      </c>
      <c r="K63">
        <f>IF(CleanData[[#This Row],[Attendance_Status]]="Present",1,0)</f>
        <v>1</v>
      </c>
    </row>
    <row r="64" spans="1:11" x14ac:dyDescent="0.3">
      <c r="A64" t="s">
        <v>95</v>
      </c>
      <c r="B64" t="s">
        <v>69</v>
      </c>
      <c r="C64" t="s">
        <v>22</v>
      </c>
      <c r="D64">
        <v>16</v>
      </c>
      <c r="E64">
        <v>26782</v>
      </c>
      <c r="F64">
        <v>10764</v>
      </c>
      <c r="G64" t="s">
        <v>10</v>
      </c>
      <c r="H64" t="str">
        <f>TEXT(CleanData[[#This Row],[Date]],"mmm")</f>
        <v>May</v>
      </c>
      <c r="I64">
        <f>WEEKNUM(CleanData[[#This Row],[Date]])</f>
        <v>20</v>
      </c>
      <c r="J64">
        <f>IF(CleanData[[#This Row],[Revenue]]&gt;=CleanData[[#This Row],[Target]],1,0)</f>
        <v>1</v>
      </c>
      <c r="K64">
        <f>IF(CleanData[[#This Row],[Attendance_Status]]="Present",1,0)</f>
        <v>1</v>
      </c>
    </row>
    <row r="65" spans="1:11" x14ac:dyDescent="0.3">
      <c r="A65" t="s">
        <v>96</v>
      </c>
      <c r="B65" t="s">
        <v>31</v>
      </c>
      <c r="C65" t="s">
        <v>13</v>
      </c>
      <c r="D65">
        <v>24</v>
      </c>
      <c r="E65">
        <v>22340</v>
      </c>
      <c r="F65">
        <v>22619</v>
      </c>
      <c r="G65" t="s">
        <v>10</v>
      </c>
      <c r="H65" t="str">
        <f>TEXT(CleanData[[#This Row],[Date]],"mmm")</f>
        <v>Jun</v>
      </c>
      <c r="I65">
        <f>WEEKNUM(CleanData[[#This Row],[Date]])</f>
        <v>26</v>
      </c>
      <c r="J65">
        <f>IF(CleanData[[#This Row],[Revenue]]&gt;=CleanData[[#This Row],[Target]],1,0)</f>
        <v>0</v>
      </c>
      <c r="K65">
        <f>IF(CleanData[[#This Row],[Attendance_Status]]="Present",1,0)</f>
        <v>1</v>
      </c>
    </row>
    <row r="66" spans="1:11" x14ac:dyDescent="0.3">
      <c r="A66" t="s">
        <v>97</v>
      </c>
      <c r="B66" t="s">
        <v>48</v>
      </c>
      <c r="C66" t="s">
        <v>9</v>
      </c>
      <c r="D66">
        <v>19</v>
      </c>
      <c r="E66">
        <v>9924</v>
      </c>
      <c r="F66">
        <v>21447</v>
      </c>
      <c r="G66" t="s">
        <v>10</v>
      </c>
      <c r="H66" t="str">
        <f>TEXT(CleanData[[#This Row],[Date]],"mmm")</f>
        <v>Mar</v>
      </c>
      <c r="I66">
        <f>WEEKNUM(CleanData[[#This Row],[Date]])</f>
        <v>11</v>
      </c>
      <c r="J66">
        <f>IF(CleanData[[#This Row],[Revenue]]&gt;=CleanData[[#This Row],[Target]],1,0)</f>
        <v>0</v>
      </c>
      <c r="K66">
        <f>IF(CleanData[[#This Row],[Attendance_Status]]="Present",1,0)</f>
        <v>1</v>
      </c>
    </row>
    <row r="67" spans="1:11" x14ac:dyDescent="0.3">
      <c r="A67" t="s">
        <v>98</v>
      </c>
      <c r="B67" t="s">
        <v>42</v>
      </c>
      <c r="C67" t="s">
        <v>9</v>
      </c>
      <c r="D67">
        <v>23</v>
      </c>
      <c r="E67">
        <v>17800</v>
      </c>
      <c r="F67">
        <v>12906</v>
      </c>
      <c r="G67" t="s">
        <v>10</v>
      </c>
      <c r="H67" t="str">
        <f>TEXT(CleanData[[#This Row],[Date]],"mmm")</f>
        <v>Mar</v>
      </c>
      <c r="I67">
        <f>WEEKNUM(CleanData[[#This Row],[Date]])</f>
        <v>10</v>
      </c>
      <c r="J67">
        <f>IF(CleanData[[#This Row],[Revenue]]&gt;=CleanData[[#This Row],[Target]],1,0)</f>
        <v>1</v>
      </c>
      <c r="K67">
        <f>IF(CleanData[[#This Row],[Attendance_Status]]="Present",1,0)</f>
        <v>1</v>
      </c>
    </row>
    <row r="68" spans="1:11" x14ac:dyDescent="0.3">
      <c r="A68" t="s">
        <v>99</v>
      </c>
      <c r="B68" t="s">
        <v>79</v>
      </c>
      <c r="C68" t="s">
        <v>22</v>
      </c>
      <c r="D68">
        <v>22</v>
      </c>
      <c r="E68">
        <v>22818</v>
      </c>
      <c r="F68">
        <v>24569</v>
      </c>
      <c r="G68" t="s">
        <v>10</v>
      </c>
      <c r="H68" t="str">
        <f>TEXT(CleanData[[#This Row],[Date]],"mmm")</f>
        <v>May</v>
      </c>
      <c r="I68">
        <f>WEEKNUM(CleanData[[#This Row],[Date]])</f>
        <v>22</v>
      </c>
      <c r="J68">
        <f>IF(CleanData[[#This Row],[Revenue]]&gt;=CleanData[[#This Row],[Target]],1,0)</f>
        <v>0</v>
      </c>
      <c r="K68">
        <f>IF(CleanData[[#This Row],[Attendance_Status]]="Present",1,0)</f>
        <v>1</v>
      </c>
    </row>
    <row r="69" spans="1:11" x14ac:dyDescent="0.3">
      <c r="A69" t="s">
        <v>100</v>
      </c>
      <c r="B69" t="s">
        <v>101</v>
      </c>
      <c r="C69" t="s">
        <v>9</v>
      </c>
      <c r="D69">
        <v>16</v>
      </c>
      <c r="E69">
        <v>10168</v>
      </c>
      <c r="F69">
        <v>15247</v>
      </c>
      <c r="G69" t="s">
        <v>10</v>
      </c>
      <c r="H69" t="str">
        <f>TEXT(CleanData[[#This Row],[Date]],"mmm")</f>
        <v>Apr</v>
      </c>
      <c r="I69">
        <f>WEEKNUM(CleanData[[#This Row],[Date]])</f>
        <v>15</v>
      </c>
      <c r="J69">
        <f>IF(CleanData[[#This Row],[Revenue]]&gt;=CleanData[[#This Row],[Target]],1,0)</f>
        <v>0</v>
      </c>
      <c r="K69">
        <f>IF(CleanData[[#This Row],[Attendance_Status]]="Present",1,0)</f>
        <v>1</v>
      </c>
    </row>
    <row r="70" spans="1:11" x14ac:dyDescent="0.3">
      <c r="A70" t="s">
        <v>102</v>
      </c>
      <c r="B70" t="s">
        <v>12</v>
      </c>
      <c r="C70" t="s">
        <v>22</v>
      </c>
      <c r="D70">
        <v>21</v>
      </c>
      <c r="E70">
        <v>14747</v>
      </c>
      <c r="F70">
        <v>21424</v>
      </c>
      <c r="G70" t="s">
        <v>10</v>
      </c>
      <c r="H70" t="str">
        <f>TEXT(CleanData[[#This Row],[Date]],"mmm")</f>
        <v>May</v>
      </c>
      <c r="I70">
        <f>WEEKNUM(CleanData[[#This Row],[Date]])</f>
        <v>22</v>
      </c>
      <c r="J70">
        <f>IF(CleanData[[#This Row],[Revenue]]&gt;=CleanData[[#This Row],[Target]],1,0)</f>
        <v>0</v>
      </c>
      <c r="K70">
        <f>IF(CleanData[[#This Row],[Attendance_Status]]="Present",1,0)</f>
        <v>1</v>
      </c>
    </row>
    <row r="71" spans="1:11" x14ac:dyDescent="0.3">
      <c r="A71" t="s">
        <v>85</v>
      </c>
      <c r="B71" t="s">
        <v>79</v>
      </c>
      <c r="C71" t="s">
        <v>22</v>
      </c>
      <c r="D71">
        <v>13</v>
      </c>
      <c r="E71">
        <v>20979</v>
      </c>
      <c r="F71">
        <v>10796</v>
      </c>
      <c r="G71" t="s">
        <v>10</v>
      </c>
      <c r="H71" t="str">
        <f>TEXT(CleanData[[#This Row],[Date]],"mmm")</f>
        <v>Apr</v>
      </c>
      <c r="I71">
        <f>WEEKNUM(CleanData[[#This Row],[Date]])</f>
        <v>18</v>
      </c>
      <c r="J71">
        <f>IF(CleanData[[#This Row],[Revenue]]&gt;=CleanData[[#This Row],[Target]],1,0)</f>
        <v>1</v>
      </c>
      <c r="K71">
        <f>IF(CleanData[[#This Row],[Attendance_Status]]="Present",1,0)</f>
        <v>1</v>
      </c>
    </row>
    <row r="72" spans="1:11" x14ac:dyDescent="0.3">
      <c r="A72" t="s">
        <v>60</v>
      </c>
      <c r="B72" t="s">
        <v>101</v>
      </c>
      <c r="C72" t="s">
        <v>22</v>
      </c>
      <c r="D72">
        <v>20</v>
      </c>
      <c r="E72">
        <v>10094</v>
      </c>
      <c r="F72">
        <v>14978</v>
      </c>
      <c r="G72" t="s">
        <v>10</v>
      </c>
      <c r="H72" t="str">
        <f>TEXT(CleanData[[#This Row],[Date]],"mmm")</f>
        <v>May</v>
      </c>
      <c r="I72">
        <f>WEEKNUM(CleanData[[#This Row],[Date]])</f>
        <v>18</v>
      </c>
      <c r="J72">
        <f>IF(CleanData[[#This Row],[Revenue]]&gt;=CleanData[[#This Row],[Target]],1,0)</f>
        <v>0</v>
      </c>
      <c r="K72">
        <f>IF(CleanData[[#This Row],[Attendance_Status]]="Present",1,0)</f>
        <v>1</v>
      </c>
    </row>
    <row r="73" spans="1:11" x14ac:dyDescent="0.3">
      <c r="A73" t="s">
        <v>103</v>
      </c>
      <c r="B73" t="s">
        <v>17</v>
      </c>
      <c r="C73" t="s">
        <v>13</v>
      </c>
      <c r="D73">
        <v>6</v>
      </c>
      <c r="E73">
        <v>27960</v>
      </c>
      <c r="F73">
        <v>11277</v>
      </c>
      <c r="G73" t="s">
        <v>10</v>
      </c>
      <c r="H73" t="str">
        <f>TEXT(CleanData[[#This Row],[Date]],"mmm")</f>
        <v>May</v>
      </c>
      <c r="I73">
        <f>WEEKNUM(CleanData[[#This Row],[Date]])</f>
        <v>21</v>
      </c>
      <c r="J73">
        <f>IF(CleanData[[#This Row],[Revenue]]&gt;=CleanData[[#This Row],[Target]],1,0)</f>
        <v>1</v>
      </c>
      <c r="K73">
        <f>IF(CleanData[[#This Row],[Attendance_Status]]="Present",1,0)</f>
        <v>1</v>
      </c>
    </row>
    <row r="74" spans="1:11" x14ac:dyDescent="0.3">
      <c r="A74" t="s">
        <v>60</v>
      </c>
      <c r="B74" t="s">
        <v>75</v>
      </c>
      <c r="C74" t="s">
        <v>13</v>
      </c>
      <c r="D74">
        <v>10</v>
      </c>
      <c r="E74">
        <v>26022</v>
      </c>
      <c r="F74">
        <v>16562</v>
      </c>
      <c r="G74" t="s">
        <v>10</v>
      </c>
      <c r="H74" t="str">
        <f>TEXT(CleanData[[#This Row],[Date]],"mmm")</f>
        <v>May</v>
      </c>
      <c r="I74">
        <f>WEEKNUM(CleanData[[#This Row],[Date]])</f>
        <v>18</v>
      </c>
      <c r="J74">
        <f>IF(CleanData[[#This Row],[Revenue]]&gt;=CleanData[[#This Row],[Target]],1,0)</f>
        <v>1</v>
      </c>
      <c r="K74">
        <f>IF(CleanData[[#This Row],[Attendance_Status]]="Present",1,0)</f>
        <v>1</v>
      </c>
    </row>
    <row r="75" spans="1:11" x14ac:dyDescent="0.3">
      <c r="A75" t="s">
        <v>72</v>
      </c>
      <c r="B75" t="s">
        <v>48</v>
      </c>
      <c r="C75" t="s">
        <v>9</v>
      </c>
      <c r="D75">
        <v>5</v>
      </c>
      <c r="E75">
        <v>5303</v>
      </c>
      <c r="F75">
        <v>10219</v>
      </c>
      <c r="G75" t="s">
        <v>10</v>
      </c>
      <c r="H75" t="str">
        <f>TEXT(CleanData[[#This Row],[Date]],"mmm")</f>
        <v>Mar</v>
      </c>
      <c r="I75">
        <f>WEEKNUM(CleanData[[#This Row],[Date]])</f>
        <v>10</v>
      </c>
      <c r="J75">
        <f>IF(CleanData[[#This Row],[Revenue]]&gt;=CleanData[[#This Row],[Target]],1,0)</f>
        <v>0</v>
      </c>
      <c r="K75">
        <f>IF(CleanData[[#This Row],[Attendance_Status]]="Present",1,0)</f>
        <v>1</v>
      </c>
    </row>
    <row r="76" spans="1:11" x14ac:dyDescent="0.3">
      <c r="A76" t="s">
        <v>104</v>
      </c>
      <c r="B76" t="s">
        <v>46</v>
      </c>
      <c r="C76" t="s">
        <v>9</v>
      </c>
      <c r="D76">
        <v>23</v>
      </c>
      <c r="E76">
        <v>20465</v>
      </c>
      <c r="F76">
        <v>14404</v>
      </c>
      <c r="G76" t="s">
        <v>10</v>
      </c>
      <c r="H76" t="str">
        <f>TEXT(CleanData[[#This Row],[Date]],"mmm")</f>
        <v>Apr</v>
      </c>
      <c r="I76">
        <f>WEEKNUM(CleanData[[#This Row],[Date]])</f>
        <v>16</v>
      </c>
      <c r="J76">
        <f>IF(CleanData[[#This Row],[Revenue]]&gt;=CleanData[[#This Row],[Target]],1,0)</f>
        <v>1</v>
      </c>
      <c r="K76">
        <f>IF(CleanData[[#This Row],[Attendance_Status]]="Present",1,0)</f>
        <v>1</v>
      </c>
    </row>
    <row r="77" spans="1:11" x14ac:dyDescent="0.3">
      <c r="A77" t="s">
        <v>105</v>
      </c>
      <c r="B77" t="s">
        <v>50</v>
      </c>
      <c r="C77" t="s">
        <v>22</v>
      </c>
      <c r="D77">
        <v>6</v>
      </c>
      <c r="E77">
        <v>11987</v>
      </c>
      <c r="F77">
        <v>23374</v>
      </c>
      <c r="G77" t="s">
        <v>10</v>
      </c>
      <c r="H77" t="str">
        <f>TEXT(CleanData[[#This Row],[Date]],"mmm")</f>
        <v>May</v>
      </c>
      <c r="I77">
        <f>WEEKNUM(CleanData[[#This Row],[Date]])</f>
        <v>21</v>
      </c>
      <c r="J77">
        <f>IF(CleanData[[#This Row],[Revenue]]&gt;=CleanData[[#This Row],[Target]],1,0)</f>
        <v>0</v>
      </c>
      <c r="K77">
        <f>IF(CleanData[[#This Row],[Attendance_Status]]="Present",1,0)</f>
        <v>1</v>
      </c>
    </row>
    <row r="78" spans="1:11" x14ac:dyDescent="0.3">
      <c r="A78" t="s">
        <v>106</v>
      </c>
      <c r="B78" t="s">
        <v>31</v>
      </c>
      <c r="C78" t="s">
        <v>9</v>
      </c>
      <c r="D78">
        <v>20</v>
      </c>
      <c r="E78">
        <v>13610</v>
      </c>
      <c r="F78">
        <v>12468</v>
      </c>
      <c r="G78" t="s">
        <v>10</v>
      </c>
      <c r="H78" t="str">
        <f>TEXT(CleanData[[#This Row],[Date]],"mmm")</f>
        <v>Mar</v>
      </c>
      <c r="I78">
        <f>WEEKNUM(CleanData[[#This Row],[Date]])</f>
        <v>13</v>
      </c>
      <c r="J78">
        <f>IF(CleanData[[#This Row],[Revenue]]&gt;=CleanData[[#This Row],[Target]],1,0)</f>
        <v>1</v>
      </c>
      <c r="K78">
        <f>IF(CleanData[[#This Row],[Attendance_Status]]="Present",1,0)</f>
        <v>1</v>
      </c>
    </row>
    <row r="79" spans="1:11" x14ac:dyDescent="0.3">
      <c r="A79" t="s">
        <v>107</v>
      </c>
      <c r="B79" t="s">
        <v>46</v>
      </c>
      <c r="C79" t="s">
        <v>22</v>
      </c>
      <c r="D79">
        <v>8</v>
      </c>
      <c r="E79">
        <v>28283</v>
      </c>
      <c r="F79">
        <v>19340</v>
      </c>
      <c r="G79" t="s">
        <v>10</v>
      </c>
      <c r="H79" t="str">
        <f>TEXT(CleanData[[#This Row],[Date]],"mmm")</f>
        <v>Mar</v>
      </c>
      <c r="I79">
        <f>WEEKNUM(CleanData[[#This Row],[Date]])</f>
        <v>12</v>
      </c>
      <c r="J79">
        <f>IF(CleanData[[#This Row],[Revenue]]&gt;=CleanData[[#This Row],[Target]],1,0)</f>
        <v>1</v>
      </c>
      <c r="K79">
        <f>IF(CleanData[[#This Row],[Attendance_Status]]="Present",1,0)</f>
        <v>1</v>
      </c>
    </row>
    <row r="80" spans="1:11" x14ac:dyDescent="0.3">
      <c r="A80" t="s">
        <v>61</v>
      </c>
      <c r="B80" t="s">
        <v>40</v>
      </c>
      <c r="C80" t="s">
        <v>22</v>
      </c>
      <c r="D80">
        <v>16</v>
      </c>
      <c r="E80">
        <v>7916</v>
      </c>
      <c r="F80">
        <v>10707</v>
      </c>
      <c r="G80" t="s">
        <v>10</v>
      </c>
      <c r="H80" t="str">
        <f>TEXT(CleanData[[#This Row],[Date]],"mmm")</f>
        <v>Jan</v>
      </c>
      <c r="I80">
        <f>WEEKNUM(CleanData[[#This Row],[Date]])</f>
        <v>4</v>
      </c>
      <c r="J80">
        <f>IF(CleanData[[#This Row],[Revenue]]&gt;=CleanData[[#This Row],[Target]],1,0)</f>
        <v>0</v>
      </c>
      <c r="K80">
        <f>IF(CleanData[[#This Row],[Attendance_Status]]="Present",1,0)</f>
        <v>1</v>
      </c>
    </row>
    <row r="81" spans="1:11" x14ac:dyDescent="0.3">
      <c r="A81" t="s">
        <v>72</v>
      </c>
      <c r="B81" t="s">
        <v>37</v>
      </c>
      <c r="C81" t="s">
        <v>9</v>
      </c>
      <c r="D81">
        <v>11</v>
      </c>
      <c r="E81">
        <v>27662</v>
      </c>
      <c r="F81">
        <v>14770</v>
      </c>
      <c r="G81" t="s">
        <v>10</v>
      </c>
      <c r="H81" t="str">
        <f>TEXT(CleanData[[#This Row],[Date]],"mmm")</f>
        <v>Mar</v>
      </c>
      <c r="I81">
        <f>WEEKNUM(CleanData[[#This Row],[Date]])</f>
        <v>10</v>
      </c>
      <c r="J81">
        <f>IF(CleanData[[#This Row],[Revenue]]&gt;=CleanData[[#This Row],[Target]],1,0)</f>
        <v>1</v>
      </c>
      <c r="K81">
        <f>IF(CleanData[[#This Row],[Attendance_Status]]="Present",1,0)</f>
        <v>1</v>
      </c>
    </row>
    <row r="82" spans="1:11" x14ac:dyDescent="0.3">
      <c r="A82" t="s">
        <v>90</v>
      </c>
      <c r="B82" t="s">
        <v>92</v>
      </c>
      <c r="C82" t="s">
        <v>22</v>
      </c>
      <c r="D82">
        <v>8</v>
      </c>
      <c r="E82">
        <v>8152</v>
      </c>
      <c r="F82">
        <v>20041</v>
      </c>
      <c r="G82" t="s">
        <v>10</v>
      </c>
      <c r="H82" t="str">
        <f>TEXT(CleanData[[#This Row],[Date]],"mmm")</f>
        <v>May</v>
      </c>
      <c r="I82">
        <f>WEEKNUM(CleanData[[#This Row],[Date]])</f>
        <v>19</v>
      </c>
      <c r="J82">
        <f>IF(CleanData[[#This Row],[Revenue]]&gt;=CleanData[[#This Row],[Target]],1,0)</f>
        <v>0</v>
      </c>
      <c r="K82">
        <f>IF(CleanData[[#This Row],[Attendance_Status]]="Present",1,0)</f>
        <v>1</v>
      </c>
    </row>
    <row r="83" spans="1:11" x14ac:dyDescent="0.3">
      <c r="A83" t="s">
        <v>108</v>
      </c>
      <c r="B83" t="s">
        <v>54</v>
      </c>
      <c r="C83" t="s">
        <v>9</v>
      </c>
      <c r="D83">
        <v>25</v>
      </c>
      <c r="E83">
        <v>7706</v>
      </c>
      <c r="F83">
        <v>15237</v>
      </c>
      <c r="G83" t="s">
        <v>10</v>
      </c>
      <c r="H83" t="str">
        <f>TEXT(CleanData[[#This Row],[Date]],"mmm")</f>
        <v>Apr</v>
      </c>
      <c r="I83">
        <f>WEEKNUM(CleanData[[#This Row],[Date]])</f>
        <v>15</v>
      </c>
      <c r="J83">
        <f>IF(CleanData[[#This Row],[Revenue]]&gt;=CleanData[[#This Row],[Target]],1,0)</f>
        <v>0</v>
      </c>
      <c r="K83">
        <f>IF(CleanData[[#This Row],[Attendance_Status]]="Present",1,0)</f>
        <v>1</v>
      </c>
    </row>
    <row r="84" spans="1:11" x14ac:dyDescent="0.3">
      <c r="A84" t="s">
        <v>109</v>
      </c>
      <c r="B84" t="s">
        <v>48</v>
      </c>
      <c r="C84" t="s">
        <v>22</v>
      </c>
      <c r="D84">
        <v>18</v>
      </c>
      <c r="E84">
        <v>19830</v>
      </c>
      <c r="F84">
        <v>17899</v>
      </c>
      <c r="G84" t="s">
        <v>10</v>
      </c>
      <c r="H84" t="str">
        <f>TEXT(CleanData[[#This Row],[Date]],"mmm")</f>
        <v>Mar</v>
      </c>
      <c r="I84">
        <f>WEEKNUM(CleanData[[#This Row],[Date]])</f>
        <v>10</v>
      </c>
      <c r="J84">
        <f>IF(CleanData[[#This Row],[Revenue]]&gt;=CleanData[[#This Row],[Target]],1,0)</f>
        <v>1</v>
      </c>
      <c r="K84">
        <f>IF(CleanData[[#This Row],[Attendance_Status]]="Present",1,0)</f>
        <v>1</v>
      </c>
    </row>
    <row r="85" spans="1:11" x14ac:dyDescent="0.3">
      <c r="A85" t="s">
        <v>110</v>
      </c>
      <c r="B85" t="s">
        <v>73</v>
      </c>
      <c r="C85" t="s">
        <v>22</v>
      </c>
      <c r="D85">
        <v>9</v>
      </c>
      <c r="E85">
        <v>26529</v>
      </c>
      <c r="F85">
        <v>14475</v>
      </c>
      <c r="G85" t="s">
        <v>10</v>
      </c>
      <c r="H85" t="str">
        <f>TEXT(CleanData[[#This Row],[Date]],"mmm")</f>
        <v>Apr</v>
      </c>
      <c r="I85">
        <f>WEEKNUM(CleanData[[#This Row],[Date]])</f>
        <v>15</v>
      </c>
      <c r="J85">
        <f>IF(CleanData[[#This Row],[Revenue]]&gt;=CleanData[[#This Row],[Target]],1,0)</f>
        <v>1</v>
      </c>
      <c r="K85">
        <f>IF(CleanData[[#This Row],[Attendance_Status]]="Present",1,0)</f>
        <v>1</v>
      </c>
    </row>
    <row r="86" spans="1:11" x14ac:dyDescent="0.3">
      <c r="A86" t="s">
        <v>55</v>
      </c>
      <c r="B86" t="s">
        <v>29</v>
      </c>
      <c r="C86" t="s">
        <v>22</v>
      </c>
      <c r="D86">
        <v>6</v>
      </c>
      <c r="E86">
        <v>20606</v>
      </c>
      <c r="F86">
        <v>23764</v>
      </c>
      <c r="G86" t="s">
        <v>26</v>
      </c>
      <c r="H86" t="str">
        <f>TEXT(CleanData[[#This Row],[Date]],"mmm")</f>
        <v>Feb</v>
      </c>
      <c r="I86">
        <f>WEEKNUM(CleanData[[#This Row],[Date]])</f>
        <v>8</v>
      </c>
      <c r="J86">
        <f>IF(CleanData[[#This Row],[Revenue]]&gt;=CleanData[[#This Row],[Target]],1,0)</f>
        <v>0</v>
      </c>
      <c r="K86">
        <f>IF(CleanData[[#This Row],[Attendance_Status]]="Present",1,0)</f>
        <v>0</v>
      </c>
    </row>
    <row r="87" spans="1:11" x14ac:dyDescent="0.3">
      <c r="A87" t="s">
        <v>111</v>
      </c>
      <c r="B87" t="s">
        <v>33</v>
      </c>
      <c r="C87" t="s">
        <v>22</v>
      </c>
      <c r="D87">
        <v>15</v>
      </c>
      <c r="E87">
        <v>19256</v>
      </c>
      <c r="F87">
        <v>19102</v>
      </c>
      <c r="G87" t="s">
        <v>10</v>
      </c>
      <c r="H87" t="str">
        <f>TEXT(CleanData[[#This Row],[Date]],"mmm")</f>
        <v>Mar</v>
      </c>
      <c r="I87">
        <f>WEEKNUM(CleanData[[#This Row],[Date]])</f>
        <v>11</v>
      </c>
      <c r="J87">
        <f>IF(CleanData[[#This Row],[Revenue]]&gt;=CleanData[[#This Row],[Target]],1,0)</f>
        <v>1</v>
      </c>
      <c r="K87">
        <f>IF(CleanData[[#This Row],[Attendance_Status]]="Present",1,0)</f>
        <v>1</v>
      </c>
    </row>
    <row r="88" spans="1:11" x14ac:dyDescent="0.3">
      <c r="A88" t="s">
        <v>112</v>
      </c>
      <c r="B88" t="s">
        <v>33</v>
      </c>
      <c r="C88" t="s">
        <v>13</v>
      </c>
      <c r="D88">
        <v>22</v>
      </c>
      <c r="E88">
        <v>20180</v>
      </c>
      <c r="F88">
        <v>23001</v>
      </c>
      <c r="G88" t="s">
        <v>10</v>
      </c>
      <c r="H88" t="str">
        <f>TEXT(CleanData[[#This Row],[Date]],"mmm")</f>
        <v>Apr</v>
      </c>
      <c r="I88">
        <f>WEEKNUM(CleanData[[#This Row],[Date]])</f>
        <v>14</v>
      </c>
      <c r="J88">
        <f>IF(CleanData[[#This Row],[Revenue]]&gt;=CleanData[[#This Row],[Target]],1,0)</f>
        <v>0</v>
      </c>
      <c r="K88">
        <f>IF(CleanData[[#This Row],[Attendance_Status]]="Present",1,0)</f>
        <v>1</v>
      </c>
    </row>
    <row r="89" spans="1:11" x14ac:dyDescent="0.3">
      <c r="A89" t="s">
        <v>14</v>
      </c>
      <c r="B89" t="s">
        <v>50</v>
      </c>
      <c r="C89" t="s">
        <v>22</v>
      </c>
      <c r="D89">
        <v>17</v>
      </c>
      <c r="E89">
        <v>11523</v>
      </c>
      <c r="F89">
        <v>15290</v>
      </c>
      <c r="G89" t="s">
        <v>10</v>
      </c>
      <c r="H89" t="str">
        <f>TEXT(CleanData[[#This Row],[Date]],"mmm")</f>
        <v>Jun</v>
      </c>
      <c r="I89">
        <f>WEEKNUM(CleanData[[#This Row],[Date]])</f>
        <v>24</v>
      </c>
      <c r="J89">
        <f>IF(CleanData[[#This Row],[Revenue]]&gt;=CleanData[[#This Row],[Target]],1,0)</f>
        <v>0</v>
      </c>
      <c r="K89">
        <f>IF(CleanData[[#This Row],[Attendance_Status]]="Present",1,0)</f>
        <v>1</v>
      </c>
    </row>
    <row r="90" spans="1:11" x14ac:dyDescent="0.3">
      <c r="A90" t="s">
        <v>90</v>
      </c>
      <c r="B90" t="s">
        <v>79</v>
      </c>
      <c r="C90" t="s">
        <v>9</v>
      </c>
      <c r="D90">
        <v>10</v>
      </c>
      <c r="E90">
        <v>7490</v>
      </c>
      <c r="F90">
        <v>23287</v>
      </c>
      <c r="G90" t="s">
        <v>10</v>
      </c>
      <c r="H90" t="str">
        <f>TEXT(CleanData[[#This Row],[Date]],"mmm")</f>
        <v>May</v>
      </c>
      <c r="I90">
        <f>WEEKNUM(CleanData[[#This Row],[Date]])</f>
        <v>19</v>
      </c>
      <c r="J90">
        <f>IF(CleanData[[#This Row],[Revenue]]&gt;=CleanData[[#This Row],[Target]],1,0)</f>
        <v>0</v>
      </c>
      <c r="K90">
        <f>IF(CleanData[[#This Row],[Attendance_Status]]="Present",1,0)</f>
        <v>1</v>
      </c>
    </row>
    <row r="91" spans="1:11" x14ac:dyDescent="0.3">
      <c r="A91" t="s">
        <v>72</v>
      </c>
      <c r="B91" t="s">
        <v>101</v>
      </c>
      <c r="C91" t="s">
        <v>13</v>
      </c>
      <c r="D91">
        <v>19</v>
      </c>
      <c r="E91">
        <v>7807</v>
      </c>
      <c r="F91">
        <v>17707</v>
      </c>
      <c r="G91" t="s">
        <v>10</v>
      </c>
      <c r="H91" t="str">
        <f>TEXT(CleanData[[#This Row],[Date]],"mmm")</f>
        <v>Mar</v>
      </c>
      <c r="I91">
        <f>WEEKNUM(CleanData[[#This Row],[Date]])</f>
        <v>10</v>
      </c>
      <c r="J91">
        <f>IF(CleanData[[#This Row],[Revenue]]&gt;=CleanData[[#This Row],[Target]],1,0)</f>
        <v>0</v>
      </c>
      <c r="K91">
        <f>IF(CleanData[[#This Row],[Attendance_Status]]="Present",1,0)</f>
        <v>1</v>
      </c>
    </row>
    <row r="92" spans="1:11" x14ac:dyDescent="0.3">
      <c r="A92" t="s">
        <v>113</v>
      </c>
      <c r="B92" t="s">
        <v>8</v>
      </c>
      <c r="C92" t="s">
        <v>9</v>
      </c>
      <c r="D92">
        <v>14</v>
      </c>
      <c r="E92">
        <v>23820</v>
      </c>
      <c r="F92">
        <v>16161</v>
      </c>
      <c r="G92" t="s">
        <v>10</v>
      </c>
      <c r="H92" t="str">
        <f>TEXT(CleanData[[#This Row],[Date]],"mmm")</f>
        <v>Mar</v>
      </c>
      <c r="I92">
        <f>WEEKNUM(CleanData[[#This Row],[Date]])</f>
        <v>14</v>
      </c>
      <c r="J92">
        <f>IF(CleanData[[#This Row],[Revenue]]&gt;=CleanData[[#This Row],[Target]],1,0)</f>
        <v>1</v>
      </c>
      <c r="K92">
        <f>IF(CleanData[[#This Row],[Attendance_Status]]="Present",1,0)</f>
        <v>1</v>
      </c>
    </row>
    <row r="93" spans="1:11" x14ac:dyDescent="0.3">
      <c r="A93" t="s">
        <v>18</v>
      </c>
      <c r="B93" t="s">
        <v>35</v>
      </c>
      <c r="C93" t="s">
        <v>9</v>
      </c>
      <c r="D93">
        <v>14</v>
      </c>
      <c r="E93">
        <v>24650</v>
      </c>
      <c r="F93">
        <v>20207</v>
      </c>
      <c r="G93" t="s">
        <v>10</v>
      </c>
      <c r="H93" t="str">
        <f>TEXT(CleanData[[#This Row],[Date]],"mmm")</f>
        <v>Apr</v>
      </c>
      <c r="I93">
        <f>WEEKNUM(CleanData[[#This Row],[Date]])</f>
        <v>17</v>
      </c>
      <c r="J93">
        <f>IF(CleanData[[#This Row],[Revenue]]&gt;=CleanData[[#This Row],[Target]],1,0)</f>
        <v>1</v>
      </c>
      <c r="K93">
        <f>IF(CleanData[[#This Row],[Attendance_Status]]="Present",1,0)</f>
        <v>1</v>
      </c>
    </row>
    <row r="94" spans="1:11" x14ac:dyDescent="0.3">
      <c r="A94" t="s">
        <v>114</v>
      </c>
      <c r="B94" t="s">
        <v>56</v>
      </c>
      <c r="C94" t="s">
        <v>22</v>
      </c>
      <c r="D94">
        <v>22</v>
      </c>
      <c r="E94">
        <v>29172</v>
      </c>
      <c r="F94">
        <v>21960</v>
      </c>
      <c r="G94" t="s">
        <v>10</v>
      </c>
      <c r="H94" t="str">
        <f>TEXT(CleanData[[#This Row],[Date]],"mmm")</f>
        <v>May</v>
      </c>
      <c r="I94">
        <f>WEEKNUM(CleanData[[#This Row],[Date]])</f>
        <v>20</v>
      </c>
      <c r="J94">
        <f>IF(CleanData[[#This Row],[Revenue]]&gt;=CleanData[[#This Row],[Target]],1,0)</f>
        <v>1</v>
      </c>
      <c r="K94">
        <f>IF(CleanData[[#This Row],[Attendance_Status]]="Present",1,0)</f>
        <v>1</v>
      </c>
    </row>
    <row r="95" spans="1:11" x14ac:dyDescent="0.3">
      <c r="A95" t="s">
        <v>47</v>
      </c>
      <c r="B95" t="s">
        <v>33</v>
      </c>
      <c r="C95" t="s">
        <v>22</v>
      </c>
      <c r="D95">
        <v>10</v>
      </c>
      <c r="E95">
        <v>13412</v>
      </c>
      <c r="F95">
        <v>19409</v>
      </c>
      <c r="G95" t="s">
        <v>10</v>
      </c>
      <c r="H95" t="str">
        <f>TEXT(CleanData[[#This Row],[Date]],"mmm")</f>
        <v>May</v>
      </c>
      <c r="I95">
        <f>WEEKNUM(CleanData[[#This Row],[Date]])</f>
        <v>22</v>
      </c>
      <c r="J95">
        <f>IF(CleanData[[#This Row],[Revenue]]&gt;=CleanData[[#This Row],[Target]],1,0)</f>
        <v>0</v>
      </c>
      <c r="K95">
        <f>IF(CleanData[[#This Row],[Attendance_Status]]="Present",1,0)</f>
        <v>1</v>
      </c>
    </row>
    <row r="96" spans="1:11" x14ac:dyDescent="0.3">
      <c r="A96" t="s">
        <v>100</v>
      </c>
      <c r="B96" t="s">
        <v>15</v>
      </c>
      <c r="C96" t="s">
        <v>9</v>
      </c>
      <c r="D96">
        <v>22</v>
      </c>
      <c r="E96">
        <v>19069</v>
      </c>
      <c r="F96">
        <v>15064</v>
      </c>
      <c r="G96" t="s">
        <v>10</v>
      </c>
      <c r="H96" t="str">
        <f>TEXT(CleanData[[#This Row],[Date]],"mmm")</f>
        <v>Apr</v>
      </c>
      <c r="I96">
        <f>WEEKNUM(CleanData[[#This Row],[Date]])</f>
        <v>15</v>
      </c>
      <c r="J96">
        <f>IF(CleanData[[#This Row],[Revenue]]&gt;=CleanData[[#This Row],[Target]],1,0)</f>
        <v>1</v>
      </c>
      <c r="K96">
        <f>IF(CleanData[[#This Row],[Attendance_Status]]="Present",1,0)</f>
        <v>1</v>
      </c>
    </row>
    <row r="97" spans="1:11" x14ac:dyDescent="0.3">
      <c r="A97" t="s">
        <v>47</v>
      </c>
      <c r="B97" t="s">
        <v>17</v>
      </c>
      <c r="C97" t="s">
        <v>9</v>
      </c>
      <c r="D97">
        <v>24</v>
      </c>
      <c r="E97">
        <v>29628</v>
      </c>
      <c r="F97">
        <v>21797</v>
      </c>
      <c r="G97" t="s">
        <v>26</v>
      </c>
      <c r="H97" t="str">
        <f>TEXT(CleanData[[#This Row],[Date]],"mmm")</f>
        <v>May</v>
      </c>
      <c r="I97">
        <f>WEEKNUM(CleanData[[#This Row],[Date]])</f>
        <v>22</v>
      </c>
      <c r="J97">
        <f>IF(CleanData[[#This Row],[Revenue]]&gt;=CleanData[[#This Row],[Target]],1,0)</f>
        <v>1</v>
      </c>
      <c r="K97">
        <f>IF(CleanData[[#This Row],[Attendance_Status]]="Present",1,0)</f>
        <v>0</v>
      </c>
    </row>
    <row r="98" spans="1:11" x14ac:dyDescent="0.3">
      <c r="A98" t="s">
        <v>115</v>
      </c>
      <c r="B98" t="s">
        <v>50</v>
      </c>
      <c r="C98" t="s">
        <v>22</v>
      </c>
      <c r="D98">
        <v>11</v>
      </c>
      <c r="E98">
        <v>21656</v>
      </c>
      <c r="F98">
        <v>19439</v>
      </c>
      <c r="G98" t="s">
        <v>10</v>
      </c>
      <c r="H98" t="str">
        <f>TEXT(CleanData[[#This Row],[Date]],"mmm")</f>
        <v>Jan</v>
      </c>
      <c r="I98">
        <f>WEEKNUM(CleanData[[#This Row],[Date]])</f>
        <v>3</v>
      </c>
      <c r="J98">
        <f>IF(CleanData[[#This Row],[Revenue]]&gt;=CleanData[[#This Row],[Target]],1,0)</f>
        <v>1</v>
      </c>
      <c r="K98">
        <f>IF(CleanData[[#This Row],[Attendance_Status]]="Present",1,0)</f>
        <v>1</v>
      </c>
    </row>
    <row r="99" spans="1:11" x14ac:dyDescent="0.3">
      <c r="A99" t="s">
        <v>116</v>
      </c>
      <c r="B99" t="s">
        <v>25</v>
      </c>
      <c r="C99" t="s">
        <v>13</v>
      </c>
      <c r="D99">
        <v>24</v>
      </c>
      <c r="E99">
        <v>13989</v>
      </c>
      <c r="F99">
        <v>24512</v>
      </c>
      <c r="G99" t="s">
        <v>10</v>
      </c>
      <c r="H99" t="str">
        <f>TEXT(CleanData[[#This Row],[Date]],"mmm")</f>
        <v>Jun</v>
      </c>
      <c r="I99">
        <f>WEEKNUM(CleanData[[#This Row],[Date]])</f>
        <v>22</v>
      </c>
      <c r="J99">
        <f>IF(CleanData[[#This Row],[Revenue]]&gt;=CleanData[[#This Row],[Target]],1,0)</f>
        <v>0</v>
      </c>
      <c r="K99">
        <f>IF(CleanData[[#This Row],[Attendance_Status]]="Present",1,0)</f>
        <v>1</v>
      </c>
    </row>
    <row r="100" spans="1:11" x14ac:dyDescent="0.3">
      <c r="A100" t="s">
        <v>117</v>
      </c>
      <c r="B100" t="s">
        <v>92</v>
      </c>
      <c r="C100" t="s">
        <v>9</v>
      </c>
      <c r="D100">
        <v>25</v>
      </c>
      <c r="E100">
        <v>24606</v>
      </c>
      <c r="F100">
        <v>22130</v>
      </c>
      <c r="G100" t="s">
        <v>10</v>
      </c>
      <c r="H100" t="str">
        <f>TEXT(CleanData[[#This Row],[Date]],"mmm")</f>
        <v>Jan</v>
      </c>
      <c r="I100">
        <f>WEEKNUM(CleanData[[#This Row],[Date]])</f>
        <v>5</v>
      </c>
      <c r="J100">
        <f>IF(CleanData[[#This Row],[Revenue]]&gt;=CleanData[[#This Row],[Target]],1,0)</f>
        <v>1</v>
      </c>
      <c r="K100">
        <f>IF(CleanData[[#This Row],[Attendance_Status]]="Present",1,0)</f>
        <v>1</v>
      </c>
    </row>
    <row r="101" spans="1:11" x14ac:dyDescent="0.3">
      <c r="A101" t="s">
        <v>11</v>
      </c>
      <c r="B101" t="s">
        <v>33</v>
      </c>
      <c r="C101" t="s">
        <v>9</v>
      </c>
      <c r="D101">
        <v>9</v>
      </c>
      <c r="E101">
        <v>20961</v>
      </c>
      <c r="F101">
        <v>21002</v>
      </c>
      <c r="G101" t="s">
        <v>10</v>
      </c>
      <c r="H101" t="str">
        <f>TEXT(CleanData[[#This Row],[Date]],"mmm")</f>
        <v>Jun</v>
      </c>
      <c r="I101">
        <f>WEEKNUM(CleanData[[#This Row],[Date]])</f>
        <v>23</v>
      </c>
      <c r="J101">
        <f>IF(CleanData[[#This Row],[Revenue]]&gt;=CleanData[[#This Row],[Target]],1,0)</f>
        <v>0</v>
      </c>
      <c r="K101">
        <f>IF(CleanData[[#This Row],[Attendance_Status]]="Present",1,0)</f>
        <v>1</v>
      </c>
    </row>
    <row r="102" spans="1:11" x14ac:dyDescent="0.3">
      <c r="A102" t="s">
        <v>95</v>
      </c>
      <c r="B102" t="s">
        <v>42</v>
      </c>
      <c r="C102" t="s">
        <v>9</v>
      </c>
      <c r="D102">
        <v>24</v>
      </c>
      <c r="E102">
        <v>24552</v>
      </c>
      <c r="F102">
        <v>17163</v>
      </c>
      <c r="G102" t="s">
        <v>10</v>
      </c>
      <c r="H102" t="str">
        <f>TEXT(CleanData[[#This Row],[Date]],"mmm")</f>
        <v>May</v>
      </c>
      <c r="I102">
        <f>WEEKNUM(CleanData[[#This Row],[Date]])</f>
        <v>20</v>
      </c>
      <c r="J102">
        <f>IF(CleanData[[#This Row],[Revenue]]&gt;=CleanData[[#This Row],[Target]],1,0)</f>
        <v>1</v>
      </c>
      <c r="K102">
        <f>IF(CleanData[[#This Row],[Attendance_Status]]="Present",1,0)</f>
        <v>1</v>
      </c>
    </row>
    <row r="103" spans="1:11" x14ac:dyDescent="0.3">
      <c r="A103" t="s">
        <v>53</v>
      </c>
      <c r="B103" t="s">
        <v>21</v>
      </c>
      <c r="C103" t="s">
        <v>9</v>
      </c>
      <c r="D103">
        <v>24</v>
      </c>
      <c r="E103">
        <v>24181</v>
      </c>
      <c r="F103">
        <v>21296</v>
      </c>
      <c r="G103" t="s">
        <v>10</v>
      </c>
      <c r="H103" t="str">
        <f>TEXT(CleanData[[#This Row],[Date]],"mmm")</f>
        <v>Jan</v>
      </c>
      <c r="I103">
        <f>WEEKNUM(CleanData[[#This Row],[Date]])</f>
        <v>1</v>
      </c>
      <c r="J103">
        <f>IF(CleanData[[#This Row],[Revenue]]&gt;=CleanData[[#This Row],[Target]],1,0)</f>
        <v>1</v>
      </c>
      <c r="K103">
        <f>IF(CleanData[[#This Row],[Attendance_Status]]="Present",1,0)</f>
        <v>1</v>
      </c>
    </row>
    <row r="104" spans="1:11" x14ac:dyDescent="0.3">
      <c r="A104" t="s">
        <v>118</v>
      </c>
      <c r="B104" t="s">
        <v>25</v>
      </c>
      <c r="C104" t="s">
        <v>9</v>
      </c>
      <c r="D104">
        <v>19</v>
      </c>
      <c r="E104">
        <v>27901</v>
      </c>
      <c r="F104">
        <v>24266</v>
      </c>
      <c r="G104" t="s">
        <v>10</v>
      </c>
      <c r="H104" t="str">
        <f>TEXT(CleanData[[#This Row],[Date]],"mmm")</f>
        <v>Jan</v>
      </c>
      <c r="I104">
        <f>WEEKNUM(CleanData[[#This Row],[Date]])</f>
        <v>4</v>
      </c>
      <c r="J104">
        <f>IF(CleanData[[#This Row],[Revenue]]&gt;=CleanData[[#This Row],[Target]],1,0)</f>
        <v>1</v>
      </c>
      <c r="K104">
        <f>IF(CleanData[[#This Row],[Attendance_Status]]="Present",1,0)</f>
        <v>1</v>
      </c>
    </row>
    <row r="105" spans="1:11" x14ac:dyDescent="0.3">
      <c r="A105" t="s">
        <v>119</v>
      </c>
      <c r="B105" t="s">
        <v>120</v>
      </c>
      <c r="C105" t="s">
        <v>22</v>
      </c>
      <c r="D105">
        <v>24</v>
      </c>
      <c r="E105">
        <v>20757</v>
      </c>
      <c r="F105">
        <v>20322</v>
      </c>
      <c r="G105" t="s">
        <v>10</v>
      </c>
      <c r="H105" t="str">
        <f>TEXT(CleanData[[#This Row],[Date]],"mmm")</f>
        <v>Jan</v>
      </c>
      <c r="I105">
        <f>WEEKNUM(CleanData[[#This Row],[Date]])</f>
        <v>4</v>
      </c>
      <c r="J105">
        <f>IF(CleanData[[#This Row],[Revenue]]&gt;=CleanData[[#This Row],[Target]],1,0)</f>
        <v>1</v>
      </c>
      <c r="K105">
        <f>IF(CleanData[[#This Row],[Attendance_Status]]="Present",1,0)</f>
        <v>1</v>
      </c>
    </row>
    <row r="106" spans="1:11" x14ac:dyDescent="0.3">
      <c r="A106" t="s">
        <v>14</v>
      </c>
      <c r="B106" t="s">
        <v>75</v>
      </c>
      <c r="C106" t="s">
        <v>13</v>
      </c>
      <c r="D106">
        <v>7</v>
      </c>
      <c r="E106">
        <v>17863</v>
      </c>
      <c r="F106">
        <v>17197</v>
      </c>
      <c r="G106" t="s">
        <v>10</v>
      </c>
      <c r="H106" t="str">
        <f>TEXT(CleanData[[#This Row],[Date]],"mmm")</f>
        <v>Jun</v>
      </c>
      <c r="I106">
        <f>WEEKNUM(CleanData[[#This Row],[Date]])</f>
        <v>24</v>
      </c>
      <c r="J106">
        <f>IF(CleanData[[#This Row],[Revenue]]&gt;=CleanData[[#This Row],[Target]],1,0)</f>
        <v>1</v>
      </c>
      <c r="K106">
        <f>IF(CleanData[[#This Row],[Attendance_Status]]="Present",1,0)</f>
        <v>1</v>
      </c>
    </row>
    <row r="107" spans="1:11" x14ac:dyDescent="0.3">
      <c r="A107" t="s">
        <v>121</v>
      </c>
      <c r="B107" t="s">
        <v>8</v>
      </c>
      <c r="C107" t="s">
        <v>13</v>
      </c>
      <c r="D107">
        <v>10</v>
      </c>
      <c r="E107">
        <v>8152</v>
      </c>
      <c r="F107">
        <v>13406</v>
      </c>
      <c r="G107" t="s">
        <v>10</v>
      </c>
      <c r="H107" t="str">
        <f>TEXT(CleanData[[#This Row],[Date]],"mmm")</f>
        <v>Apr</v>
      </c>
      <c r="I107">
        <f>WEEKNUM(CleanData[[#This Row],[Date]])</f>
        <v>16</v>
      </c>
      <c r="J107">
        <f>IF(CleanData[[#This Row],[Revenue]]&gt;=CleanData[[#This Row],[Target]],1,0)</f>
        <v>0</v>
      </c>
      <c r="K107">
        <f>IF(CleanData[[#This Row],[Attendance_Status]]="Present",1,0)</f>
        <v>1</v>
      </c>
    </row>
    <row r="108" spans="1:11" x14ac:dyDescent="0.3">
      <c r="A108" t="s">
        <v>122</v>
      </c>
      <c r="B108" t="s">
        <v>54</v>
      </c>
      <c r="C108" t="s">
        <v>22</v>
      </c>
      <c r="D108">
        <v>21</v>
      </c>
      <c r="E108">
        <v>13099</v>
      </c>
      <c r="F108">
        <v>10652</v>
      </c>
      <c r="G108" t="s">
        <v>10</v>
      </c>
      <c r="H108" t="str">
        <f>TEXT(CleanData[[#This Row],[Date]],"mmm")</f>
        <v>Feb</v>
      </c>
      <c r="I108">
        <f>WEEKNUM(CleanData[[#This Row],[Date]])</f>
        <v>6</v>
      </c>
      <c r="J108">
        <f>IF(CleanData[[#This Row],[Revenue]]&gt;=CleanData[[#This Row],[Target]],1,0)</f>
        <v>1</v>
      </c>
      <c r="K108">
        <f>IF(CleanData[[#This Row],[Attendance_Status]]="Present",1,0)</f>
        <v>1</v>
      </c>
    </row>
    <row r="109" spans="1:11" x14ac:dyDescent="0.3">
      <c r="A109" t="s">
        <v>123</v>
      </c>
      <c r="B109" t="s">
        <v>50</v>
      </c>
      <c r="C109" t="s">
        <v>22</v>
      </c>
      <c r="D109">
        <v>20</v>
      </c>
      <c r="E109">
        <v>7650</v>
      </c>
      <c r="F109">
        <v>18361</v>
      </c>
      <c r="G109" t="s">
        <v>10</v>
      </c>
      <c r="H109" t="str">
        <f>TEXT(CleanData[[#This Row],[Date]],"mmm")</f>
        <v>Jun</v>
      </c>
      <c r="I109">
        <f>WEEKNUM(CleanData[[#This Row],[Date]])</f>
        <v>23</v>
      </c>
      <c r="J109">
        <f>IF(CleanData[[#This Row],[Revenue]]&gt;=CleanData[[#This Row],[Target]],1,0)</f>
        <v>0</v>
      </c>
      <c r="K109">
        <f>IF(CleanData[[#This Row],[Attendance_Status]]="Present",1,0)</f>
        <v>1</v>
      </c>
    </row>
    <row r="110" spans="1:11" x14ac:dyDescent="0.3">
      <c r="A110" t="s">
        <v>124</v>
      </c>
      <c r="B110" t="s">
        <v>35</v>
      </c>
      <c r="C110" t="s">
        <v>9</v>
      </c>
      <c r="D110">
        <v>13</v>
      </c>
      <c r="E110">
        <v>11680</v>
      </c>
      <c r="F110">
        <v>23950</v>
      </c>
      <c r="G110" t="s">
        <v>10</v>
      </c>
      <c r="H110" t="str">
        <f>TEXT(CleanData[[#This Row],[Date]],"mmm")</f>
        <v>Feb</v>
      </c>
      <c r="I110">
        <f>WEEKNUM(CleanData[[#This Row],[Date]])</f>
        <v>7</v>
      </c>
      <c r="J110">
        <f>IF(CleanData[[#This Row],[Revenue]]&gt;=CleanData[[#This Row],[Target]],1,0)</f>
        <v>0</v>
      </c>
      <c r="K110">
        <f>IF(CleanData[[#This Row],[Attendance_Status]]="Present",1,0)</f>
        <v>1</v>
      </c>
    </row>
    <row r="111" spans="1:11" x14ac:dyDescent="0.3">
      <c r="A111" t="s">
        <v>99</v>
      </c>
      <c r="B111" t="s">
        <v>37</v>
      </c>
      <c r="C111" t="s">
        <v>22</v>
      </c>
      <c r="D111">
        <v>12</v>
      </c>
      <c r="E111">
        <v>5033</v>
      </c>
      <c r="F111">
        <v>17663</v>
      </c>
      <c r="G111" t="s">
        <v>10</v>
      </c>
      <c r="H111" t="str">
        <f>TEXT(CleanData[[#This Row],[Date]],"mmm")</f>
        <v>May</v>
      </c>
      <c r="I111">
        <f>WEEKNUM(CleanData[[#This Row],[Date]])</f>
        <v>22</v>
      </c>
      <c r="J111">
        <f>IF(CleanData[[#This Row],[Revenue]]&gt;=CleanData[[#This Row],[Target]],1,0)</f>
        <v>0</v>
      </c>
      <c r="K111">
        <f>IF(CleanData[[#This Row],[Attendance_Status]]="Present",1,0)</f>
        <v>1</v>
      </c>
    </row>
    <row r="112" spans="1:11" x14ac:dyDescent="0.3">
      <c r="A112" t="s">
        <v>11</v>
      </c>
      <c r="B112" t="s">
        <v>73</v>
      </c>
      <c r="C112" t="s">
        <v>22</v>
      </c>
      <c r="D112">
        <v>8</v>
      </c>
      <c r="E112">
        <v>11927</v>
      </c>
      <c r="F112">
        <v>20602</v>
      </c>
      <c r="G112" t="s">
        <v>10</v>
      </c>
      <c r="H112" t="str">
        <f>TEXT(CleanData[[#This Row],[Date]],"mmm")</f>
        <v>Jun</v>
      </c>
      <c r="I112">
        <f>WEEKNUM(CleanData[[#This Row],[Date]])</f>
        <v>23</v>
      </c>
      <c r="J112">
        <f>IF(CleanData[[#This Row],[Revenue]]&gt;=CleanData[[#This Row],[Target]],1,0)</f>
        <v>0</v>
      </c>
      <c r="K112">
        <f>IF(CleanData[[#This Row],[Attendance_Status]]="Present",1,0)</f>
        <v>1</v>
      </c>
    </row>
    <row r="113" spans="1:11" x14ac:dyDescent="0.3">
      <c r="A113" t="s">
        <v>84</v>
      </c>
      <c r="B113" t="s">
        <v>50</v>
      </c>
      <c r="C113" t="s">
        <v>13</v>
      </c>
      <c r="D113">
        <v>18</v>
      </c>
      <c r="E113">
        <v>9014</v>
      </c>
      <c r="F113">
        <v>12590</v>
      </c>
      <c r="G113" t="s">
        <v>10</v>
      </c>
      <c r="H113" t="str">
        <f>TEXT(CleanData[[#This Row],[Date]],"mmm")</f>
        <v>May</v>
      </c>
      <c r="I113">
        <f>WEEKNUM(CleanData[[#This Row],[Date]])</f>
        <v>19</v>
      </c>
      <c r="J113">
        <f>IF(CleanData[[#This Row],[Revenue]]&gt;=CleanData[[#This Row],[Target]],1,0)</f>
        <v>0</v>
      </c>
      <c r="K113">
        <f>IF(CleanData[[#This Row],[Attendance_Status]]="Present",1,0)</f>
        <v>1</v>
      </c>
    </row>
    <row r="114" spans="1:11" x14ac:dyDescent="0.3">
      <c r="A114" t="s">
        <v>125</v>
      </c>
      <c r="B114" t="s">
        <v>69</v>
      </c>
      <c r="C114" t="s">
        <v>13</v>
      </c>
      <c r="D114">
        <v>18</v>
      </c>
      <c r="E114">
        <v>29300</v>
      </c>
      <c r="F114">
        <v>12609</v>
      </c>
      <c r="G114" t="s">
        <v>10</v>
      </c>
      <c r="H114" t="str">
        <f>TEXT(CleanData[[#This Row],[Date]],"mmm")</f>
        <v>Jun</v>
      </c>
      <c r="I114">
        <f>WEEKNUM(CleanData[[#This Row],[Date]])</f>
        <v>26</v>
      </c>
      <c r="J114">
        <f>IF(CleanData[[#This Row],[Revenue]]&gt;=CleanData[[#This Row],[Target]],1,0)</f>
        <v>1</v>
      </c>
      <c r="K114">
        <f>IF(CleanData[[#This Row],[Attendance_Status]]="Present",1,0)</f>
        <v>1</v>
      </c>
    </row>
    <row r="115" spans="1:11" x14ac:dyDescent="0.3">
      <c r="A115" t="s">
        <v>126</v>
      </c>
      <c r="B115" t="s">
        <v>21</v>
      </c>
      <c r="C115" t="s">
        <v>13</v>
      </c>
      <c r="D115">
        <v>23</v>
      </c>
      <c r="E115">
        <v>21109</v>
      </c>
      <c r="F115">
        <v>23466</v>
      </c>
      <c r="G115" t="s">
        <v>10</v>
      </c>
      <c r="H115" t="str">
        <f>TEXT(CleanData[[#This Row],[Date]],"mmm")</f>
        <v>Jun</v>
      </c>
      <c r="I115">
        <f>WEEKNUM(CleanData[[#This Row],[Date]])</f>
        <v>25</v>
      </c>
      <c r="J115">
        <f>IF(CleanData[[#This Row],[Revenue]]&gt;=CleanData[[#This Row],[Target]],1,0)</f>
        <v>0</v>
      </c>
      <c r="K115">
        <f>IF(CleanData[[#This Row],[Attendance_Status]]="Present",1,0)</f>
        <v>1</v>
      </c>
    </row>
    <row r="116" spans="1:11" x14ac:dyDescent="0.3">
      <c r="A116" t="s">
        <v>127</v>
      </c>
      <c r="B116" t="s">
        <v>56</v>
      </c>
      <c r="C116" t="s">
        <v>9</v>
      </c>
      <c r="D116">
        <v>16</v>
      </c>
      <c r="E116">
        <v>24451</v>
      </c>
      <c r="F116">
        <v>10761</v>
      </c>
      <c r="G116" t="s">
        <v>10</v>
      </c>
      <c r="H116" t="str">
        <f>TEXT(CleanData[[#This Row],[Date]],"mmm")</f>
        <v>Jun</v>
      </c>
      <c r="I116">
        <f>WEEKNUM(CleanData[[#This Row],[Date]])</f>
        <v>25</v>
      </c>
      <c r="J116">
        <f>IF(CleanData[[#This Row],[Revenue]]&gt;=CleanData[[#This Row],[Target]],1,0)</f>
        <v>1</v>
      </c>
      <c r="K116">
        <f>IF(CleanData[[#This Row],[Attendance_Status]]="Present",1,0)</f>
        <v>1</v>
      </c>
    </row>
    <row r="117" spans="1:11" x14ac:dyDescent="0.3">
      <c r="A117" t="s">
        <v>128</v>
      </c>
      <c r="B117" t="s">
        <v>92</v>
      </c>
      <c r="C117" t="s">
        <v>13</v>
      </c>
      <c r="D117">
        <v>6</v>
      </c>
      <c r="E117">
        <v>14446</v>
      </c>
      <c r="F117">
        <v>11480</v>
      </c>
      <c r="G117" t="s">
        <v>10</v>
      </c>
      <c r="H117" t="str">
        <f>TEXT(CleanData[[#This Row],[Date]],"mmm")</f>
        <v>Jan</v>
      </c>
      <c r="I117">
        <f>WEEKNUM(CleanData[[#This Row],[Date]])</f>
        <v>4</v>
      </c>
      <c r="J117">
        <f>IF(CleanData[[#This Row],[Revenue]]&gt;=CleanData[[#This Row],[Target]],1,0)</f>
        <v>1</v>
      </c>
      <c r="K117">
        <f>IF(CleanData[[#This Row],[Attendance_Status]]="Present",1,0)</f>
        <v>1</v>
      </c>
    </row>
    <row r="118" spans="1:11" x14ac:dyDescent="0.3">
      <c r="A118" t="s">
        <v>129</v>
      </c>
      <c r="B118" t="s">
        <v>79</v>
      </c>
      <c r="C118" t="s">
        <v>9</v>
      </c>
      <c r="D118">
        <v>15</v>
      </c>
      <c r="E118">
        <v>26470</v>
      </c>
      <c r="F118">
        <v>13070</v>
      </c>
      <c r="G118" t="s">
        <v>26</v>
      </c>
      <c r="H118" t="str">
        <f>TEXT(CleanData[[#This Row],[Date]],"mmm")</f>
        <v>Apr</v>
      </c>
      <c r="I118">
        <f>WEEKNUM(CleanData[[#This Row],[Date]])</f>
        <v>17</v>
      </c>
      <c r="J118">
        <f>IF(CleanData[[#This Row],[Revenue]]&gt;=CleanData[[#This Row],[Target]],1,0)</f>
        <v>1</v>
      </c>
      <c r="K118">
        <f>IF(CleanData[[#This Row],[Attendance_Status]]="Present",1,0)</f>
        <v>0</v>
      </c>
    </row>
    <row r="119" spans="1:11" x14ac:dyDescent="0.3">
      <c r="A119" t="s">
        <v>130</v>
      </c>
      <c r="B119" t="s">
        <v>79</v>
      </c>
      <c r="C119" t="s">
        <v>13</v>
      </c>
      <c r="D119">
        <v>16</v>
      </c>
      <c r="E119">
        <v>10139</v>
      </c>
      <c r="F119">
        <v>17812</v>
      </c>
      <c r="G119" t="s">
        <v>10</v>
      </c>
      <c r="H119" t="str">
        <f>TEXT(CleanData[[#This Row],[Date]],"mmm")</f>
        <v>May</v>
      </c>
      <c r="I119">
        <f>WEEKNUM(CleanData[[#This Row],[Date]])</f>
        <v>20</v>
      </c>
      <c r="J119">
        <f>IF(CleanData[[#This Row],[Revenue]]&gt;=CleanData[[#This Row],[Target]],1,0)</f>
        <v>0</v>
      </c>
      <c r="K119">
        <f>IF(CleanData[[#This Row],[Attendance_Status]]="Present",1,0)</f>
        <v>1</v>
      </c>
    </row>
    <row r="120" spans="1:11" x14ac:dyDescent="0.3">
      <c r="A120" t="s">
        <v>83</v>
      </c>
      <c r="B120" t="s">
        <v>29</v>
      </c>
      <c r="C120" t="s">
        <v>22</v>
      </c>
      <c r="D120">
        <v>8</v>
      </c>
      <c r="E120">
        <v>25024</v>
      </c>
      <c r="F120">
        <v>12884</v>
      </c>
      <c r="G120" t="s">
        <v>10</v>
      </c>
      <c r="H120" t="str">
        <f>TEXT(CleanData[[#This Row],[Date]],"mmm")</f>
        <v>Mar</v>
      </c>
      <c r="I120">
        <f>WEEKNUM(CleanData[[#This Row],[Date]])</f>
        <v>10</v>
      </c>
      <c r="J120">
        <f>IF(CleanData[[#This Row],[Revenue]]&gt;=CleanData[[#This Row],[Target]],1,0)</f>
        <v>1</v>
      </c>
      <c r="K120">
        <f>IF(CleanData[[#This Row],[Attendance_Status]]="Present",1,0)</f>
        <v>1</v>
      </c>
    </row>
    <row r="121" spans="1:11" x14ac:dyDescent="0.3">
      <c r="A121" t="s">
        <v>131</v>
      </c>
      <c r="B121" t="s">
        <v>92</v>
      </c>
      <c r="C121" t="s">
        <v>9</v>
      </c>
      <c r="D121">
        <v>21</v>
      </c>
      <c r="E121">
        <v>26344</v>
      </c>
      <c r="F121">
        <v>21687</v>
      </c>
      <c r="G121" t="s">
        <v>10</v>
      </c>
      <c r="H121" t="str">
        <f>TEXT(CleanData[[#This Row],[Date]],"mmm")</f>
        <v>Feb</v>
      </c>
      <c r="I121">
        <f>WEEKNUM(CleanData[[#This Row],[Date]])</f>
        <v>6</v>
      </c>
      <c r="J121">
        <f>IF(CleanData[[#This Row],[Revenue]]&gt;=CleanData[[#This Row],[Target]],1,0)</f>
        <v>1</v>
      </c>
      <c r="K121">
        <f>IF(CleanData[[#This Row],[Attendance_Status]]="Present",1,0)</f>
        <v>1</v>
      </c>
    </row>
    <row r="122" spans="1:11" x14ac:dyDescent="0.3">
      <c r="A122" t="s">
        <v>99</v>
      </c>
      <c r="B122" t="s">
        <v>27</v>
      </c>
      <c r="C122" t="s">
        <v>13</v>
      </c>
      <c r="D122">
        <v>23</v>
      </c>
      <c r="E122">
        <v>11158</v>
      </c>
      <c r="F122">
        <v>11106</v>
      </c>
      <c r="G122" t="s">
        <v>10</v>
      </c>
      <c r="H122" t="str">
        <f>TEXT(CleanData[[#This Row],[Date]],"mmm")</f>
        <v>May</v>
      </c>
      <c r="I122">
        <f>WEEKNUM(CleanData[[#This Row],[Date]])</f>
        <v>22</v>
      </c>
      <c r="J122">
        <f>IF(CleanData[[#This Row],[Revenue]]&gt;=CleanData[[#This Row],[Target]],1,0)</f>
        <v>1</v>
      </c>
      <c r="K122">
        <f>IF(CleanData[[#This Row],[Attendance_Status]]="Present",1,0)</f>
        <v>1</v>
      </c>
    </row>
    <row r="123" spans="1:11" x14ac:dyDescent="0.3">
      <c r="A123" t="s">
        <v>111</v>
      </c>
      <c r="B123" t="s">
        <v>37</v>
      </c>
      <c r="C123" t="s">
        <v>22</v>
      </c>
      <c r="D123">
        <v>25</v>
      </c>
      <c r="E123">
        <v>7559</v>
      </c>
      <c r="F123">
        <v>12224</v>
      </c>
      <c r="G123" t="s">
        <v>10</v>
      </c>
      <c r="H123" t="str">
        <f>TEXT(CleanData[[#This Row],[Date]],"mmm")</f>
        <v>Mar</v>
      </c>
      <c r="I123">
        <f>WEEKNUM(CleanData[[#This Row],[Date]])</f>
        <v>11</v>
      </c>
      <c r="J123">
        <f>IF(CleanData[[#This Row],[Revenue]]&gt;=CleanData[[#This Row],[Target]],1,0)</f>
        <v>0</v>
      </c>
      <c r="K123">
        <f>IF(CleanData[[#This Row],[Attendance_Status]]="Present",1,0)</f>
        <v>1</v>
      </c>
    </row>
    <row r="124" spans="1:11" x14ac:dyDescent="0.3">
      <c r="A124" t="s">
        <v>82</v>
      </c>
      <c r="B124" t="s">
        <v>75</v>
      </c>
      <c r="C124" t="s">
        <v>9</v>
      </c>
      <c r="D124">
        <v>10</v>
      </c>
      <c r="E124">
        <v>29058</v>
      </c>
      <c r="F124">
        <v>24146</v>
      </c>
      <c r="G124" t="s">
        <v>10</v>
      </c>
      <c r="H124" t="str">
        <f>TEXT(CleanData[[#This Row],[Date]],"mmm")</f>
        <v>Jan</v>
      </c>
      <c r="I124">
        <f>WEEKNUM(CleanData[[#This Row],[Date]])</f>
        <v>2</v>
      </c>
      <c r="J124">
        <f>IF(CleanData[[#This Row],[Revenue]]&gt;=CleanData[[#This Row],[Target]],1,0)</f>
        <v>1</v>
      </c>
      <c r="K124">
        <f>IF(CleanData[[#This Row],[Attendance_Status]]="Present",1,0)</f>
        <v>1</v>
      </c>
    </row>
    <row r="125" spans="1:11" x14ac:dyDescent="0.3">
      <c r="A125" t="s">
        <v>132</v>
      </c>
      <c r="B125" t="s">
        <v>46</v>
      </c>
      <c r="C125" t="s">
        <v>13</v>
      </c>
      <c r="D125">
        <v>10</v>
      </c>
      <c r="E125">
        <v>23791</v>
      </c>
      <c r="F125">
        <v>17570</v>
      </c>
      <c r="G125" t="s">
        <v>10</v>
      </c>
      <c r="H125" t="str">
        <f>TEXT(CleanData[[#This Row],[Date]],"mmm")</f>
        <v>Jun</v>
      </c>
      <c r="I125">
        <f>WEEKNUM(CleanData[[#This Row],[Date]])</f>
        <v>23</v>
      </c>
      <c r="J125">
        <f>IF(CleanData[[#This Row],[Revenue]]&gt;=CleanData[[#This Row],[Target]],1,0)</f>
        <v>1</v>
      </c>
      <c r="K125">
        <f>IF(CleanData[[#This Row],[Attendance_Status]]="Present",1,0)</f>
        <v>1</v>
      </c>
    </row>
    <row r="126" spans="1:11" x14ac:dyDescent="0.3">
      <c r="A126" t="s">
        <v>133</v>
      </c>
      <c r="B126" t="s">
        <v>15</v>
      </c>
      <c r="C126" t="s">
        <v>22</v>
      </c>
      <c r="D126">
        <v>17</v>
      </c>
      <c r="E126">
        <v>15428</v>
      </c>
      <c r="F126">
        <v>23558</v>
      </c>
      <c r="G126" t="s">
        <v>10</v>
      </c>
      <c r="H126" t="str">
        <f>TEXT(CleanData[[#This Row],[Date]],"mmm")</f>
        <v>Jan</v>
      </c>
      <c r="I126">
        <f>WEEKNUM(CleanData[[#This Row],[Date]])</f>
        <v>5</v>
      </c>
      <c r="J126">
        <f>IF(CleanData[[#This Row],[Revenue]]&gt;=CleanData[[#This Row],[Target]],1,0)</f>
        <v>0</v>
      </c>
      <c r="K126">
        <f>IF(CleanData[[#This Row],[Attendance_Status]]="Present",1,0)</f>
        <v>1</v>
      </c>
    </row>
    <row r="127" spans="1:11" x14ac:dyDescent="0.3">
      <c r="A127" t="s">
        <v>71</v>
      </c>
      <c r="B127" t="s">
        <v>64</v>
      </c>
      <c r="C127" t="s">
        <v>22</v>
      </c>
      <c r="D127">
        <v>25</v>
      </c>
      <c r="E127">
        <v>6373</v>
      </c>
      <c r="F127">
        <v>23047</v>
      </c>
      <c r="G127" t="s">
        <v>10</v>
      </c>
      <c r="H127" t="str">
        <f>TEXT(CleanData[[#This Row],[Date]],"mmm")</f>
        <v>Apr</v>
      </c>
      <c r="I127">
        <f>WEEKNUM(CleanData[[#This Row],[Date]])</f>
        <v>14</v>
      </c>
      <c r="J127">
        <f>IF(CleanData[[#This Row],[Revenue]]&gt;=CleanData[[#This Row],[Target]],1,0)</f>
        <v>0</v>
      </c>
      <c r="K127">
        <f>IF(CleanData[[#This Row],[Attendance_Status]]="Present",1,0)</f>
        <v>1</v>
      </c>
    </row>
    <row r="128" spans="1:11" x14ac:dyDescent="0.3">
      <c r="A128" t="s">
        <v>102</v>
      </c>
      <c r="B128" t="s">
        <v>67</v>
      </c>
      <c r="C128" t="s">
        <v>13</v>
      </c>
      <c r="D128">
        <v>19</v>
      </c>
      <c r="E128">
        <v>11551</v>
      </c>
      <c r="F128">
        <v>24692</v>
      </c>
      <c r="G128" t="s">
        <v>10</v>
      </c>
      <c r="H128" t="str">
        <f>TEXT(CleanData[[#This Row],[Date]],"mmm")</f>
        <v>May</v>
      </c>
      <c r="I128">
        <f>WEEKNUM(CleanData[[#This Row],[Date]])</f>
        <v>22</v>
      </c>
      <c r="J128">
        <f>IF(CleanData[[#This Row],[Revenue]]&gt;=CleanData[[#This Row],[Target]],1,0)</f>
        <v>0</v>
      </c>
      <c r="K128">
        <f>IF(CleanData[[#This Row],[Attendance_Status]]="Present",1,0)</f>
        <v>1</v>
      </c>
    </row>
    <row r="129" spans="1:11" x14ac:dyDescent="0.3">
      <c r="A129" t="s">
        <v>134</v>
      </c>
      <c r="B129" t="s">
        <v>92</v>
      </c>
      <c r="C129" t="s">
        <v>13</v>
      </c>
      <c r="D129">
        <v>23</v>
      </c>
      <c r="E129">
        <v>13825</v>
      </c>
      <c r="F129">
        <v>24784</v>
      </c>
      <c r="G129" t="s">
        <v>10</v>
      </c>
      <c r="H129" t="str">
        <f>TEXT(CleanData[[#This Row],[Date]],"mmm")</f>
        <v>Feb</v>
      </c>
      <c r="I129">
        <f>WEEKNUM(CleanData[[#This Row],[Date]])</f>
        <v>6</v>
      </c>
      <c r="J129">
        <f>IF(CleanData[[#This Row],[Revenue]]&gt;=CleanData[[#This Row],[Target]],1,0)</f>
        <v>0</v>
      </c>
      <c r="K129">
        <f>IF(CleanData[[#This Row],[Attendance_Status]]="Present",1,0)</f>
        <v>1</v>
      </c>
    </row>
    <row r="130" spans="1:11" x14ac:dyDescent="0.3">
      <c r="A130" t="s">
        <v>66</v>
      </c>
      <c r="B130" t="s">
        <v>69</v>
      </c>
      <c r="C130" t="s">
        <v>13</v>
      </c>
      <c r="D130">
        <v>14</v>
      </c>
      <c r="E130">
        <v>8333</v>
      </c>
      <c r="F130">
        <v>22540</v>
      </c>
      <c r="G130" t="s">
        <v>10</v>
      </c>
      <c r="H130" t="str">
        <f>TEXT(CleanData[[#This Row],[Date]],"mmm")</f>
        <v>Jun</v>
      </c>
      <c r="I130">
        <f>WEEKNUM(CleanData[[#This Row],[Date]])</f>
        <v>24</v>
      </c>
      <c r="J130">
        <f>IF(CleanData[[#This Row],[Revenue]]&gt;=CleanData[[#This Row],[Target]],1,0)</f>
        <v>0</v>
      </c>
      <c r="K130">
        <f>IF(CleanData[[#This Row],[Attendance_Status]]="Present",1,0)</f>
        <v>1</v>
      </c>
    </row>
    <row r="131" spans="1:11" x14ac:dyDescent="0.3">
      <c r="A131" t="s">
        <v>135</v>
      </c>
      <c r="B131" t="s">
        <v>92</v>
      </c>
      <c r="C131" t="s">
        <v>9</v>
      </c>
      <c r="D131">
        <v>11</v>
      </c>
      <c r="E131">
        <v>23684</v>
      </c>
      <c r="F131">
        <v>20404</v>
      </c>
      <c r="G131" t="s">
        <v>10</v>
      </c>
      <c r="H131" t="str">
        <f>TEXT(CleanData[[#This Row],[Date]],"mmm")</f>
        <v>Feb</v>
      </c>
      <c r="I131">
        <f>WEEKNUM(CleanData[[#This Row],[Date]])</f>
        <v>6</v>
      </c>
      <c r="J131">
        <f>IF(CleanData[[#This Row],[Revenue]]&gt;=CleanData[[#This Row],[Target]],1,0)</f>
        <v>1</v>
      </c>
      <c r="K131">
        <f>IF(CleanData[[#This Row],[Attendance_Status]]="Present",1,0)</f>
        <v>1</v>
      </c>
    </row>
    <row r="132" spans="1:11" x14ac:dyDescent="0.3">
      <c r="A132" t="s">
        <v>89</v>
      </c>
      <c r="B132" t="s">
        <v>12</v>
      </c>
      <c r="C132" t="s">
        <v>9</v>
      </c>
      <c r="D132">
        <v>24</v>
      </c>
      <c r="E132">
        <v>13973</v>
      </c>
      <c r="F132">
        <v>15443</v>
      </c>
      <c r="G132" t="s">
        <v>10</v>
      </c>
      <c r="H132" t="str">
        <f>TEXT(CleanData[[#This Row],[Date]],"mmm")</f>
        <v>Jun</v>
      </c>
      <c r="I132">
        <f>WEEKNUM(CleanData[[#This Row],[Date]])</f>
        <v>23</v>
      </c>
      <c r="J132">
        <f>IF(CleanData[[#This Row],[Revenue]]&gt;=CleanData[[#This Row],[Target]],1,0)</f>
        <v>0</v>
      </c>
      <c r="K132">
        <f>IF(CleanData[[#This Row],[Attendance_Status]]="Present",1,0)</f>
        <v>1</v>
      </c>
    </row>
    <row r="133" spans="1:11" x14ac:dyDescent="0.3">
      <c r="A133" t="s">
        <v>132</v>
      </c>
      <c r="B133" t="s">
        <v>35</v>
      </c>
      <c r="C133" t="s">
        <v>9</v>
      </c>
      <c r="D133">
        <v>13</v>
      </c>
      <c r="E133">
        <v>19690</v>
      </c>
      <c r="F133">
        <v>12771</v>
      </c>
      <c r="G133" t="s">
        <v>10</v>
      </c>
      <c r="H133" t="str">
        <f>TEXT(CleanData[[#This Row],[Date]],"mmm")</f>
        <v>Jun</v>
      </c>
      <c r="I133">
        <f>WEEKNUM(CleanData[[#This Row],[Date]])</f>
        <v>23</v>
      </c>
      <c r="J133">
        <f>IF(CleanData[[#This Row],[Revenue]]&gt;=CleanData[[#This Row],[Target]],1,0)</f>
        <v>1</v>
      </c>
      <c r="K133">
        <f>IF(CleanData[[#This Row],[Attendance_Status]]="Present",1,0)</f>
        <v>1</v>
      </c>
    </row>
    <row r="134" spans="1:11" x14ac:dyDescent="0.3">
      <c r="A134" t="s">
        <v>136</v>
      </c>
      <c r="B134" t="s">
        <v>31</v>
      </c>
      <c r="C134" t="s">
        <v>22</v>
      </c>
      <c r="D134">
        <v>13</v>
      </c>
      <c r="E134">
        <v>23188</v>
      </c>
      <c r="F134">
        <v>12950</v>
      </c>
      <c r="G134" t="s">
        <v>10</v>
      </c>
      <c r="H134" t="str">
        <f>TEXT(CleanData[[#This Row],[Date]],"mmm")</f>
        <v>Mar</v>
      </c>
      <c r="I134">
        <f>WEEKNUM(CleanData[[#This Row],[Date]])</f>
        <v>11</v>
      </c>
      <c r="J134">
        <f>IF(CleanData[[#This Row],[Revenue]]&gt;=CleanData[[#This Row],[Target]],1,0)</f>
        <v>1</v>
      </c>
      <c r="K134">
        <f>IF(CleanData[[#This Row],[Attendance_Status]]="Present",1,0)</f>
        <v>1</v>
      </c>
    </row>
    <row r="135" spans="1:11" x14ac:dyDescent="0.3">
      <c r="A135" t="s">
        <v>122</v>
      </c>
      <c r="B135" t="s">
        <v>50</v>
      </c>
      <c r="C135" t="s">
        <v>13</v>
      </c>
      <c r="D135">
        <v>18</v>
      </c>
      <c r="E135">
        <v>12856</v>
      </c>
      <c r="F135">
        <v>20453</v>
      </c>
      <c r="G135" t="s">
        <v>10</v>
      </c>
      <c r="H135" t="str">
        <f>TEXT(CleanData[[#This Row],[Date]],"mmm")</f>
        <v>Feb</v>
      </c>
      <c r="I135">
        <f>WEEKNUM(CleanData[[#This Row],[Date]])</f>
        <v>6</v>
      </c>
      <c r="J135">
        <f>IF(CleanData[[#This Row],[Revenue]]&gt;=CleanData[[#This Row],[Target]],1,0)</f>
        <v>0</v>
      </c>
      <c r="K135">
        <f>IF(CleanData[[#This Row],[Attendance_Status]]="Present",1,0)</f>
        <v>1</v>
      </c>
    </row>
    <row r="136" spans="1:11" x14ac:dyDescent="0.3">
      <c r="A136" t="s">
        <v>28</v>
      </c>
      <c r="B136" t="s">
        <v>101</v>
      </c>
      <c r="C136" t="s">
        <v>13</v>
      </c>
      <c r="D136">
        <v>14</v>
      </c>
      <c r="E136">
        <v>18488</v>
      </c>
      <c r="F136">
        <v>22142</v>
      </c>
      <c r="G136" t="s">
        <v>10</v>
      </c>
      <c r="H136" t="str">
        <f>TEXT(CleanData[[#This Row],[Date]],"mmm")</f>
        <v>Mar</v>
      </c>
      <c r="I136">
        <f>WEEKNUM(CleanData[[#This Row],[Date]])</f>
        <v>12</v>
      </c>
      <c r="J136">
        <f>IF(CleanData[[#This Row],[Revenue]]&gt;=CleanData[[#This Row],[Target]],1,0)</f>
        <v>0</v>
      </c>
      <c r="K136">
        <f>IF(CleanData[[#This Row],[Attendance_Status]]="Present",1,0)</f>
        <v>1</v>
      </c>
    </row>
    <row r="137" spans="1:11" x14ac:dyDescent="0.3">
      <c r="A137" t="s">
        <v>78</v>
      </c>
      <c r="B137" t="s">
        <v>50</v>
      </c>
      <c r="C137" t="s">
        <v>9</v>
      </c>
      <c r="D137">
        <v>24</v>
      </c>
      <c r="E137">
        <v>14400</v>
      </c>
      <c r="F137">
        <v>19497</v>
      </c>
      <c r="G137" t="s">
        <v>10</v>
      </c>
      <c r="H137" t="str">
        <f>TEXT(CleanData[[#This Row],[Date]],"mmm")</f>
        <v>Apr</v>
      </c>
      <c r="I137">
        <f>WEEKNUM(CleanData[[#This Row],[Date]])</f>
        <v>15</v>
      </c>
      <c r="J137">
        <f>IF(CleanData[[#This Row],[Revenue]]&gt;=CleanData[[#This Row],[Target]],1,0)</f>
        <v>0</v>
      </c>
      <c r="K137">
        <f>IF(CleanData[[#This Row],[Attendance_Status]]="Present",1,0)</f>
        <v>1</v>
      </c>
    </row>
    <row r="138" spans="1:11" x14ac:dyDescent="0.3">
      <c r="A138" t="s">
        <v>124</v>
      </c>
      <c r="B138" t="s">
        <v>101</v>
      </c>
      <c r="C138" t="s">
        <v>22</v>
      </c>
      <c r="D138">
        <v>11</v>
      </c>
      <c r="E138">
        <v>13498</v>
      </c>
      <c r="F138">
        <v>11476</v>
      </c>
      <c r="G138" t="s">
        <v>10</v>
      </c>
      <c r="H138" t="str">
        <f>TEXT(CleanData[[#This Row],[Date]],"mmm")</f>
        <v>Feb</v>
      </c>
      <c r="I138">
        <f>WEEKNUM(CleanData[[#This Row],[Date]])</f>
        <v>7</v>
      </c>
      <c r="J138">
        <f>IF(CleanData[[#This Row],[Revenue]]&gt;=CleanData[[#This Row],[Target]],1,0)</f>
        <v>1</v>
      </c>
      <c r="K138">
        <f>IF(CleanData[[#This Row],[Attendance_Status]]="Present",1,0)</f>
        <v>1</v>
      </c>
    </row>
    <row r="139" spans="1:11" x14ac:dyDescent="0.3">
      <c r="A139" t="s">
        <v>57</v>
      </c>
      <c r="B139" t="s">
        <v>40</v>
      </c>
      <c r="C139" t="s">
        <v>9</v>
      </c>
      <c r="D139">
        <v>15</v>
      </c>
      <c r="E139">
        <v>9089</v>
      </c>
      <c r="F139">
        <v>23013</v>
      </c>
      <c r="G139" t="s">
        <v>10</v>
      </c>
      <c r="H139" t="str">
        <f>TEXT(CleanData[[#This Row],[Date]],"mmm")</f>
        <v>Jun</v>
      </c>
      <c r="I139">
        <f>WEEKNUM(CleanData[[#This Row],[Date]])</f>
        <v>25</v>
      </c>
      <c r="J139">
        <f>IF(CleanData[[#This Row],[Revenue]]&gt;=CleanData[[#This Row],[Target]],1,0)</f>
        <v>0</v>
      </c>
      <c r="K139">
        <f>IF(CleanData[[#This Row],[Attendance_Status]]="Present",1,0)</f>
        <v>1</v>
      </c>
    </row>
    <row r="140" spans="1:11" x14ac:dyDescent="0.3">
      <c r="A140" t="s">
        <v>7</v>
      </c>
      <c r="B140" t="s">
        <v>31</v>
      </c>
      <c r="C140" t="s">
        <v>13</v>
      </c>
      <c r="D140">
        <v>17</v>
      </c>
      <c r="E140">
        <v>6715</v>
      </c>
      <c r="F140">
        <v>12884</v>
      </c>
      <c r="G140" t="s">
        <v>10</v>
      </c>
      <c r="H140" t="str">
        <f>TEXT(CleanData[[#This Row],[Date]],"mmm")</f>
        <v>May</v>
      </c>
      <c r="I140">
        <f>WEEKNUM(CleanData[[#This Row],[Date]])</f>
        <v>20</v>
      </c>
      <c r="J140">
        <f>IF(CleanData[[#This Row],[Revenue]]&gt;=CleanData[[#This Row],[Target]],1,0)</f>
        <v>0</v>
      </c>
      <c r="K140">
        <f>IF(CleanData[[#This Row],[Attendance_Status]]="Present",1,0)</f>
        <v>1</v>
      </c>
    </row>
    <row r="141" spans="1:11" x14ac:dyDescent="0.3">
      <c r="A141" t="s">
        <v>59</v>
      </c>
      <c r="B141" t="s">
        <v>46</v>
      </c>
      <c r="C141" t="s">
        <v>9</v>
      </c>
      <c r="D141">
        <v>8</v>
      </c>
      <c r="E141">
        <v>24333</v>
      </c>
      <c r="F141">
        <v>18207</v>
      </c>
      <c r="G141" t="s">
        <v>10</v>
      </c>
      <c r="H141" t="str">
        <f>TEXT(CleanData[[#This Row],[Date]],"mmm")</f>
        <v>Mar</v>
      </c>
      <c r="I141">
        <f>WEEKNUM(CleanData[[#This Row],[Date]])</f>
        <v>12</v>
      </c>
      <c r="J141">
        <f>IF(CleanData[[#This Row],[Revenue]]&gt;=CleanData[[#This Row],[Target]],1,0)</f>
        <v>1</v>
      </c>
      <c r="K141">
        <f>IF(CleanData[[#This Row],[Attendance_Status]]="Present",1,0)</f>
        <v>1</v>
      </c>
    </row>
    <row r="142" spans="1:11" x14ac:dyDescent="0.3">
      <c r="A142" t="s">
        <v>137</v>
      </c>
      <c r="B142" t="s">
        <v>92</v>
      </c>
      <c r="C142" t="s">
        <v>22</v>
      </c>
      <c r="D142">
        <v>11</v>
      </c>
      <c r="E142">
        <v>21080</v>
      </c>
      <c r="F142">
        <v>11803</v>
      </c>
      <c r="G142" t="s">
        <v>10</v>
      </c>
      <c r="H142" t="str">
        <f>TEXT(CleanData[[#This Row],[Date]],"mmm")</f>
        <v>May</v>
      </c>
      <c r="I142">
        <f>WEEKNUM(CleanData[[#This Row],[Date]])</f>
        <v>18</v>
      </c>
      <c r="J142">
        <f>IF(CleanData[[#This Row],[Revenue]]&gt;=CleanData[[#This Row],[Target]],1,0)</f>
        <v>1</v>
      </c>
      <c r="K142">
        <f>IF(CleanData[[#This Row],[Attendance_Status]]="Present",1,0)</f>
        <v>1</v>
      </c>
    </row>
    <row r="143" spans="1:11" x14ac:dyDescent="0.3">
      <c r="A143" t="s">
        <v>138</v>
      </c>
      <c r="B143" t="s">
        <v>69</v>
      </c>
      <c r="C143" t="s">
        <v>9</v>
      </c>
      <c r="D143">
        <v>20</v>
      </c>
      <c r="E143">
        <v>21334</v>
      </c>
      <c r="F143">
        <v>18534</v>
      </c>
      <c r="G143" t="s">
        <v>10</v>
      </c>
      <c r="H143" t="str">
        <f>TEXT(CleanData[[#This Row],[Date]],"mmm")</f>
        <v>Apr</v>
      </c>
      <c r="I143">
        <f>WEEKNUM(CleanData[[#This Row],[Date]])</f>
        <v>14</v>
      </c>
      <c r="J143">
        <f>IF(CleanData[[#This Row],[Revenue]]&gt;=CleanData[[#This Row],[Target]],1,0)</f>
        <v>1</v>
      </c>
      <c r="K143">
        <f>IF(CleanData[[#This Row],[Attendance_Status]]="Present",1,0)</f>
        <v>1</v>
      </c>
    </row>
    <row r="144" spans="1:11" x14ac:dyDescent="0.3">
      <c r="A144" t="s">
        <v>139</v>
      </c>
      <c r="B144" t="s">
        <v>25</v>
      </c>
      <c r="C144" t="s">
        <v>13</v>
      </c>
      <c r="D144">
        <v>15</v>
      </c>
      <c r="E144">
        <v>8842</v>
      </c>
      <c r="F144">
        <v>24960</v>
      </c>
      <c r="G144" t="s">
        <v>10</v>
      </c>
      <c r="H144" t="str">
        <f>TEXT(CleanData[[#This Row],[Date]],"mmm")</f>
        <v>Apr</v>
      </c>
      <c r="I144">
        <f>WEEKNUM(CleanData[[#This Row],[Date]])</f>
        <v>17</v>
      </c>
      <c r="J144">
        <f>IF(CleanData[[#This Row],[Revenue]]&gt;=CleanData[[#This Row],[Target]],1,0)</f>
        <v>0</v>
      </c>
      <c r="K144">
        <f>IF(CleanData[[#This Row],[Attendance_Status]]="Present",1,0)</f>
        <v>1</v>
      </c>
    </row>
    <row r="145" spans="1:11" x14ac:dyDescent="0.3">
      <c r="A145" t="s">
        <v>140</v>
      </c>
      <c r="B145" t="s">
        <v>33</v>
      </c>
      <c r="C145" t="s">
        <v>22</v>
      </c>
      <c r="D145">
        <v>17</v>
      </c>
      <c r="E145">
        <v>22390</v>
      </c>
      <c r="F145">
        <v>13578</v>
      </c>
      <c r="G145" t="s">
        <v>10</v>
      </c>
      <c r="H145" t="str">
        <f>TEXT(CleanData[[#This Row],[Date]],"mmm")</f>
        <v>Apr</v>
      </c>
      <c r="I145">
        <f>WEEKNUM(CleanData[[#This Row],[Date]])</f>
        <v>15</v>
      </c>
      <c r="J145">
        <f>IF(CleanData[[#This Row],[Revenue]]&gt;=CleanData[[#This Row],[Target]],1,0)</f>
        <v>1</v>
      </c>
      <c r="K145">
        <f>IF(CleanData[[#This Row],[Attendance_Status]]="Present",1,0)</f>
        <v>1</v>
      </c>
    </row>
    <row r="146" spans="1:11" x14ac:dyDescent="0.3">
      <c r="A146" t="s">
        <v>127</v>
      </c>
      <c r="B146" t="s">
        <v>37</v>
      </c>
      <c r="C146" t="s">
        <v>13</v>
      </c>
      <c r="D146">
        <v>13</v>
      </c>
      <c r="E146">
        <v>13791</v>
      </c>
      <c r="F146">
        <v>23633</v>
      </c>
      <c r="G146" t="s">
        <v>10</v>
      </c>
      <c r="H146" t="str">
        <f>TEXT(CleanData[[#This Row],[Date]],"mmm")</f>
        <v>Jun</v>
      </c>
      <c r="I146">
        <f>WEEKNUM(CleanData[[#This Row],[Date]])</f>
        <v>25</v>
      </c>
      <c r="J146">
        <f>IF(CleanData[[#This Row],[Revenue]]&gt;=CleanData[[#This Row],[Target]],1,0)</f>
        <v>0</v>
      </c>
      <c r="K146">
        <f>IF(CleanData[[#This Row],[Attendance_Status]]="Present",1,0)</f>
        <v>1</v>
      </c>
    </row>
    <row r="147" spans="1:11" x14ac:dyDescent="0.3">
      <c r="A147" t="s">
        <v>141</v>
      </c>
      <c r="B147" t="s">
        <v>69</v>
      </c>
      <c r="C147" t="s">
        <v>9</v>
      </c>
      <c r="D147">
        <v>22</v>
      </c>
      <c r="E147">
        <v>14581</v>
      </c>
      <c r="F147">
        <v>15006</v>
      </c>
      <c r="G147" t="s">
        <v>10</v>
      </c>
      <c r="H147" t="str">
        <f>TEXT(CleanData[[#This Row],[Date]],"mmm")</f>
        <v>Feb</v>
      </c>
      <c r="I147">
        <f>WEEKNUM(CleanData[[#This Row],[Date]])</f>
        <v>8</v>
      </c>
      <c r="J147">
        <f>IF(CleanData[[#This Row],[Revenue]]&gt;=CleanData[[#This Row],[Target]],1,0)</f>
        <v>0</v>
      </c>
      <c r="K147">
        <f>IF(CleanData[[#This Row],[Attendance_Status]]="Present",1,0)</f>
        <v>1</v>
      </c>
    </row>
    <row r="148" spans="1:11" x14ac:dyDescent="0.3">
      <c r="A148" t="s">
        <v>118</v>
      </c>
      <c r="B148" t="s">
        <v>75</v>
      </c>
      <c r="C148" t="s">
        <v>22</v>
      </c>
      <c r="D148">
        <v>11</v>
      </c>
      <c r="E148">
        <v>22197</v>
      </c>
      <c r="F148">
        <v>22666</v>
      </c>
      <c r="G148" t="s">
        <v>10</v>
      </c>
      <c r="H148" t="str">
        <f>TEXT(CleanData[[#This Row],[Date]],"mmm")</f>
        <v>Jan</v>
      </c>
      <c r="I148">
        <f>WEEKNUM(CleanData[[#This Row],[Date]])</f>
        <v>4</v>
      </c>
      <c r="J148">
        <f>IF(CleanData[[#This Row],[Revenue]]&gt;=CleanData[[#This Row],[Target]],1,0)</f>
        <v>0</v>
      </c>
      <c r="K148">
        <f>IF(CleanData[[#This Row],[Attendance_Status]]="Present",1,0)</f>
        <v>1</v>
      </c>
    </row>
    <row r="149" spans="1:11" x14ac:dyDescent="0.3">
      <c r="A149" t="s">
        <v>123</v>
      </c>
      <c r="B149" t="s">
        <v>8</v>
      </c>
      <c r="C149" t="s">
        <v>22</v>
      </c>
      <c r="D149">
        <v>20</v>
      </c>
      <c r="E149">
        <v>9211</v>
      </c>
      <c r="F149">
        <v>21275</v>
      </c>
      <c r="G149" t="s">
        <v>10</v>
      </c>
      <c r="H149" t="str">
        <f>TEXT(CleanData[[#This Row],[Date]],"mmm")</f>
        <v>Jun</v>
      </c>
      <c r="I149">
        <f>WEEKNUM(CleanData[[#This Row],[Date]])</f>
        <v>23</v>
      </c>
      <c r="J149">
        <f>IF(CleanData[[#This Row],[Revenue]]&gt;=CleanData[[#This Row],[Target]],1,0)</f>
        <v>0</v>
      </c>
      <c r="K149">
        <f>IF(CleanData[[#This Row],[Attendance_Status]]="Present",1,0)</f>
        <v>1</v>
      </c>
    </row>
    <row r="150" spans="1:11" x14ac:dyDescent="0.3">
      <c r="A150" t="s">
        <v>80</v>
      </c>
      <c r="B150" t="s">
        <v>42</v>
      </c>
      <c r="C150" t="s">
        <v>13</v>
      </c>
      <c r="D150">
        <v>16</v>
      </c>
      <c r="E150">
        <v>16594</v>
      </c>
      <c r="F150">
        <v>19367</v>
      </c>
      <c r="G150" t="s">
        <v>10</v>
      </c>
      <c r="H150" t="str">
        <f>TEXT(CleanData[[#This Row],[Date]],"mmm")</f>
        <v>May</v>
      </c>
      <c r="I150">
        <f>WEEKNUM(CleanData[[#This Row],[Date]])</f>
        <v>21</v>
      </c>
      <c r="J150">
        <f>IF(CleanData[[#This Row],[Revenue]]&gt;=CleanData[[#This Row],[Target]],1,0)</f>
        <v>0</v>
      </c>
      <c r="K150">
        <f>IF(CleanData[[#This Row],[Attendance_Status]]="Present",1,0)</f>
        <v>1</v>
      </c>
    </row>
    <row r="151" spans="1:11" x14ac:dyDescent="0.3">
      <c r="A151" t="s">
        <v>142</v>
      </c>
      <c r="B151" t="s">
        <v>120</v>
      </c>
      <c r="C151" t="s">
        <v>22</v>
      </c>
      <c r="D151">
        <v>16</v>
      </c>
      <c r="E151">
        <v>9425</v>
      </c>
      <c r="F151">
        <v>11212</v>
      </c>
      <c r="G151" t="s">
        <v>10</v>
      </c>
      <c r="H151" t="str">
        <f>TEXT(CleanData[[#This Row],[Date]],"mmm")</f>
        <v>Jan</v>
      </c>
      <c r="I151">
        <f>WEEKNUM(CleanData[[#This Row],[Date]])</f>
        <v>3</v>
      </c>
      <c r="J151">
        <f>IF(CleanData[[#This Row],[Revenue]]&gt;=CleanData[[#This Row],[Target]],1,0)</f>
        <v>0</v>
      </c>
      <c r="K151">
        <f>IF(CleanData[[#This Row],[Attendance_Status]]="Present",1,0)</f>
        <v>1</v>
      </c>
    </row>
    <row r="152" spans="1:11" x14ac:dyDescent="0.3">
      <c r="A152" t="s">
        <v>106</v>
      </c>
      <c r="B152" t="s">
        <v>73</v>
      </c>
      <c r="C152" t="s">
        <v>22</v>
      </c>
      <c r="D152">
        <v>12</v>
      </c>
      <c r="E152">
        <v>11523</v>
      </c>
      <c r="F152">
        <v>18521</v>
      </c>
      <c r="G152" t="s">
        <v>26</v>
      </c>
      <c r="H152" t="str">
        <f>TEXT(CleanData[[#This Row],[Date]],"mmm")</f>
        <v>Mar</v>
      </c>
      <c r="I152">
        <f>WEEKNUM(CleanData[[#This Row],[Date]])</f>
        <v>13</v>
      </c>
      <c r="J152">
        <f>IF(CleanData[[#This Row],[Revenue]]&gt;=CleanData[[#This Row],[Target]],1,0)</f>
        <v>0</v>
      </c>
      <c r="K152">
        <f>IF(CleanData[[#This Row],[Attendance_Status]]="Present",1,0)</f>
        <v>0</v>
      </c>
    </row>
    <row r="153" spans="1:11" x14ac:dyDescent="0.3">
      <c r="A153" t="s">
        <v>143</v>
      </c>
      <c r="B153" t="s">
        <v>15</v>
      </c>
      <c r="C153" t="s">
        <v>22</v>
      </c>
      <c r="D153">
        <v>5</v>
      </c>
      <c r="E153">
        <v>8021</v>
      </c>
      <c r="F153">
        <v>20762</v>
      </c>
      <c r="G153" t="s">
        <v>10</v>
      </c>
      <c r="H153" t="str">
        <f>TEXT(CleanData[[#This Row],[Date]],"mmm")</f>
        <v>Jan</v>
      </c>
      <c r="I153">
        <f>WEEKNUM(CleanData[[#This Row],[Date]])</f>
        <v>2</v>
      </c>
      <c r="J153">
        <f>IF(CleanData[[#This Row],[Revenue]]&gt;=CleanData[[#This Row],[Target]],1,0)</f>
        <v>0</v>
      </c>
      <c r="K153">
        <f>IF(CleanData[[#This Row],[Attendance_Status]]="Present",1,0)</f>
        <v>1</v>
      </c>
    </row>
    <row r="154" spans="1:11" x14ac:dyDescent="0.3">
      <c r="A154" t="s">
        <v>65</v>
      </c>
      <c r="B154" t="s">
        <v>37</v>
      </c>
      <c r="C154" t="s">
        <v>9</v>
      </c>
      <c r="D154">
        <v>10</v>
      </c>
      <c r="E154">
        <v>27279</v>
      </c>
      <c r="F154">
        <v>14316</v>
      </c>
      <c r="G154" t="s">
        <v>10</v>
      </c>
      <c r="H154" t="str">
        <f>TEXT(CleanData[[#This Row],[Date]],"mmm")</f>
        <v>Apr</v>
      </c>
      <c r="I154">
        <f>WEEKNUM(CleanData[[#This Row],[Date]])</f>
        <v>14</v>
      </c>
      <c r="J154">
        <f>IF(CleanData[[#This Row],[Revenue]]&gt;=CleanData[[#This Row],[Target]],1,0)</f>
        <v>1</v>
      </c>
      <c r="K154">
        <f>IF(CleanData[[#This Row],[Attendance_Status]]="Present",1,0)</f>
        <v>1</v>
      </c>
    </row>
    <row r="155" spans="1:11" x14ac:dyDescent="0.3">
      <c r="A155" t="s">
        <v>144</v>
      </c>
      <c r="B155" t="s">
        <v>54</v>
      </c>
      <c r="C155" t="s">
        <v>9</v>
      </c>
      <c r="D155">
        <v>25</v>
      </c>
      <c r="E155">
        <v>20340</v>
      </c>
      <c r="F155">
        <v>16461</v>
      </c>
      <c r="G155" t="s">
        <v>10</v>
      </c>
      <c r="H155" t="str">
        <f>TEXT(CleanData[[#This Row],[Date]],"mmm")</f>
        <v>Jan</v>
      </c>
      <c r="I155">
        <f>WEEKNUM(CleanData[[#This Row],[Date]])</f>
        <v>1</v>
      </c>
      <c r="J155">
        <f>IF(CleanData[[#This Row],[Revenue]]&gt;=CleanData[[#This Row],[Target]],1,0)</f>
        <v>1</v>
      </c>
      <c r="K155">
        <f>IF(CleanData[[#This Row],[Attendance_Status]]="Present",1,0)</f>
        <v>1</v>
      </c>
    </row>
    <row r="156" spans="1:11" x14ac:dyDescent="0.3">
      <c r="A156" t="s">
        <v>66</v>
      </c>
      <c r="B156" t="s">
        <v>40</v>
      </c>
      <c r="C156" t="s">
        <v>9</v>
      </c>
      <c r="D156">
        <v>20</v>
      </c>
      <c r="E156">
        <v>15427</v>
      </c>
      <c r="F156">
        <v>11353</v>
      </c>
      <c r="G156" t="s">
        <v>10</v>
      </c>
      <c r="H156" t="str">
        <f>TEXT(CleanData[[#This Row],[Date]],"mmm")</f>
        <v>Jun</v>
      </c>
      <c r="I156">
        <f>WEEKNUM(CleanData[[#This Row],[Date]])</f>
        <v>24</v>
      </c>
      <c r="J156">
        <f>IF(CleanData[[#This Row],[Revenue]]&gt;=CleanData[[#This Row],[Target]],1,0)</f>
        <v>1</v>
      </c>
      <c r="K156">
        <f>IF(CleanData[[#This Row],[Attendance_Status]]="Present",1,0)</f>
        <v>1</v>
      </c>
    </row>
    <row r="157" spans="1:11" x14ac:dyDescent="0.3">
      <c r="A157" t="s">
        <v>93</v>
      </c>
      <c r="B157" t="s">
        <v>101</v>
      </c>
      <c r="C157" t="s">
        <v>13</v>
      </c>
      <c r="D157">
        <v>11</v>
      </c>
      <c r="E157">
        <v>12672</v>
      </c>
      <c r="F157">
        <v>16476</v>
      </c>
      <c r="G157" t="s">
        <v>10</v>
      </c>
      <c r="H157" t="str">
        <f>TEXT(CleanData[[#This Row],[Date]],"mmm")</f>
        <v>Mar</v>
      </c>
      <c r="I157">
        <f>WEEKNUM(CleanData[[#This Row],[Date]])</f>
        <v>12</v>
      </c>
      <c r="J157">
        <f>IF(CleanData[[#This Row],[Revenue]]&gt;=CleanData[[#This Row],[Target]],1,0)</f>
        <v>0</v>
      </c>
      <c r="K157">
        <f>IF(CleanData[[#This Row],[Attendance_Status]]="Present",1,0)</f>
        <v>1</v>
      </c>
    </row>
    <row r="158" spans="1:11" x14ac:dyDescent="0.3">
      <c r="A158" t="s">
        <v>106</v>
      </c>
      <c r="B158" t="s">
        <v>64</v>
      </c>
      <c r="C158" t="s">
        <v>9</v>
      </c>
      <c r="D158">
        <v>17</v>
      </c>
      <c r="E158">
        <v>28390</v>
      </c>
      <c r="F158">
        <v>19199</v>
      </c>
      <c r="G158" t="s">
        <v>10</v>
      </c>
      <c r="H158" t="str">
        <f>TEXT(CleanData[[#This Row],[Date]],"mmm")</f>
        <v>Mar</v>
      </c>
      <c r="I158">
        <f>WEEKNUM(CleanData[[#This Row],[Date]])</f>
        <v>13</v>
      </c>
      <c r="J158">
        <f>IF(CleanData[[#This Row],[Revenue]]&gt;=CleanData[[#This Row],[Target]],1,0)</f>
        <v>1</v>
      </c>
      <c r="K158">
        <f>IF(CleanData[[#This Row],[Attendance_Status]]="Present",1,0)</f>
        <v>1</v>
      </c>
    </row>
    <row r="159" spans="1:11" x14ac:dyDescent="0.3">
      <c r="A159" t="s">
        <v>145</v>
      </c>
      <c r="B159" t="s">
        <v>25</v>
      </c>
      <c r="C159" t="s">
        <v>9</v>
      </c>
      <c r="D159">
        <v>23</v>
      </c>
      <c r="E159">
        <v>26269</v>
      </c>
      <c r="F159">
        <v>16216</v>
      </c>
      <c r="G159" t="s">
        <v>10</v>
      </c>
      <c r="H159" t="str">
        <f>TEXT(CleanData[[#This Row],[Date]],"mmm")</f>
        <v>Feb</v>
      </c>
      <c r="I159">
        <f>WEEKNUM(CleanData[[#This Row],[Date]])</f>
        <v>7</v>
      </c>
      <c r="J159">
        <f>IF(CleanData[[#This Row],[Revenue]]&gt;=CleanData[[#This Row],[Target]],1,0)</f>
        <v>1</v>
      </c>
      <c r="K159">
        <f>IF(CleanData[[#This Row],[Attendance_Status]]="Present",1,0)</f>
        <v>1</v>
      </c>
    </row>
    <row r="160" spans="1:11" x14ac:dyDescent="0.3">
      <c r="A160" t="s">
        <v>91</v>
      </c>
      <c r="B160" t="s">
        <v>25</v>
      </c>
      <c r="C160" t="s">
        <v>13</v>
      </c>
      <c r="D160">
        <v>8</v>
      </c>
      <c r="E160">
        <v>14309</v>
      </c>
      <c r="F160">
        <v>12748</v>
      </c>
      <c r="G160" t="s">
        <v>10</v>
      </c>
      <c r="H160" t="str">
        <f>TEXT(CleanData[[#This Row],[Date]],"mmm")</f>
        <v>Jan</v>
      </c>
      <c r="I160">
        <f>WEEKNUM(CleanData[[#This Row],[Date]])</f>
        <v>4</v>
      </c>
      <c r="J160">
        <f>IF(CleanData[[#This Row],[Revenue]]&gt;=CleanData[[#This Row],[Target]],1,0)</f>
        <v>1</v>
      </c>
      <c r="K160">
        <f>IF(CleanData[[#This Row],[Attendance_Status]]="Present",1,0)</f>
        <v>1</v>
      </c>
    </row>
    <row r="161" spans="1:11" x14ac:dyDescent="0.3">
      <c r="A161" t="s">
        <v>124</v>
      </c>
      <c r="B161" t="s">
        <v>29</v>
      </c>
      <c r="C161" t="s">
        <v>9</v>
      </c>
      <c r="D161">
        <v>13</v>
      </c>
      <c r="E161">
        <v>21061</v>
      </c>
      <c r="F161">
        <v>15428</v>
      </c>
      <c r="G161" t="s">
        <v>26</v>
      </c>
      <c r="H161" t="str">
        <f>TEXT(CleanData[[#This Row],[Date]],"mmm")</f>
        <v>Feb</v>
      </c>
      <c r="I161">
        <f>WEEKNUM(CleanData[[#This Row],[Date]])</f>
        <v>7</v>
      </c>
      <c r="J161">
        <f>IF(CleanData[[#This Row],[Revenue]]&gt;=CleanData[[#This Row],[Target]],1,0)</f>
        <v>1</v>
      </c>
      <c r="K161">
        <f>IF(CleanData[[#This Row],[Attendance_Status]]="Present",1,0)</f>
        <v>0</v>
      </c>
    </row>
    <row r="162" spans="1:11" x14ac:dyDescent="0.3">
      <c r="A162" t="s">
        <v>128</v>
      </c>
      <c r="B162" t="s">
        <v>19</v>
      </c>
      <c r="C162" t="s">
        <v>22</v>
      </c>
      <c r="D162">
        <v>12</v>
      </c>
      <c r="E162">
        <v>15115</v>
      </c>
      <c r="F162">
        <v>22693</v>
      </c>
      <c r="G162" t="s">
        <v>10</v>
      </c>
      <c r="H162" t="str">
        <f>TEXT(CleanData[[#This Row],[Date]],"mmm")</f>
        <v>Jan</v>
      </c>
      <c r="I162">
        <f>WEEKNUM(CleanData[[#This Row],[Date]])</f>
        <v>4</v>
      </c>
      <c r="J162">
        <f>IF(CleanData[[#This Row],[Revenue]]&gt;=CleanData[[#This Row],[Target]],1,0)</f>
        <v>0</v>
      </c>
      <c r="K162">
        <f>IF(CleanData[[#This Row],[Attendance_Status]]="Present",1,0)</f>
        <v>1</v>
      </c>
    </row>
    <row r="163" spans="1:11" x14ac:dyDescent="0.3">
      <c r="A163" t="s">
        <v>115</v>
      </c>
      <c r="B163" t="s">
        <v>48</v>
      </c>
      <c r="C163" t="s">
        <v>9</v>
      </c>
      <c r="D163">
        <v>16</v>
      </c>
      <c r="E163">
        <v>18554</v>
      </c>
      <c r="F163">
        <v>16541</v>
      </c>
      <c r="G163" t="s">
        <v>26</v>
      </c>
      <c r="H163" t="str">
        <f>TEXT(CleanData[[#This Row],[Date]],"mmm")</f>
        <v>Jan</v>
      </c>
      <c r="I163">
        <f>WEEKNUM(CleanData[[#This Row],[Date]])</f>
        <v>3</v>
      </c>
      <c r="J163">
        <f>IF(CleanData[[#This Row],[Revenue]]&gt;=CleanData[[#This Row],[Target]],1,0)</f>
        <v>1</v>
      </c>
      <c r="K163">
        <f>IF(CleanData[[#This Row],[Attendance_Status]]="Present",1,0)</f>
        <v>0</v>
      </c>
    </row>
    <row r="164" spans="1:11" x14ac:dyDescent="0.3">
      <c r="A164" t="s">
        <v>146</v>
      </c>
      <c r="B164" t="s">
        <v>37</v>
      </c>
      <c r="C164" t="s">
        <v>13</v>
      </c>
      <c r="D164">
        <v>10</v>
      </c>
      <c r="E164">
        <v>12538</v>
      </c>
      <c r="F164">
        <v>20607</v>
      </c>
      <c r="G164" t="s">
        <v>10</v>
      </c>
      <c r="H164" t="str">
        <f>TEXT(CleanData[[#This Row],[Date]],"mmm")</f>
        <v>Feb</v>
      </c>
      <c r="I164">
        <f>WEEKNUM(CleanData[[#This Row],[Date]])</f>
        <v>8</v>
      </c>
      <c r="J164">
        <f>IF(CleanData[[#This Row],[Revenue]]&gt;=CleanData[[#This Row],[Target]],1,0)</f>
        <v>0</v>
      </c>
      <c r="K164">
        <f>IF(CleanData[[#This Row],[Attendance_Status]]="Present",1,0)</f>
        <v>1</v>
      </c>
    </row>
    <row r="165" spans="1:11" x14ac:dyDescent="0.3">
      <c r="A165" t="s">
        <v>116</v>
      </c>
      <c r="B165" t="s">
        <v>50</v>
      </c>
      <c r="C165" t="s">
        <v>9</v>
      </c>
      <c r="D165">
        <v>19</v>
      </c>
      <c r="E165">
        <v>16875</v>
      </c>
      <c r="F165">
        <v>23976</v>
      </c>
      <c r="G165" t="s">
        <v>10</v>
      </c>
      <c r="H165" t="str">
        <f>TEXT(CleanData[[#This Row],[Date]],"mmm")</f>
        <v>Jun</v>
      </c>
      <c r="I165">
        <f>WEEKNUM(CleanData[[#This Row],[Date]])</f>
        <v>22</v>
      </c>
      <c r="J165">
        <f>IF(CleanData[[#This Row],[Revenue]]&gt;=CleanData[[#This Row],[Target]],1,0)</f>
        <v>0</v>
      </c>
      <c r="K165">
        <f>IF(CleanData[[#This Row],[Attendance_Status]]="Present",1,0)</f>
        <v>1</v>
      </c>
    </row>
    <row r="166" spans="1:11" x14ac:dyDescent="0.3">
      <c r="A166" t="s">
        <v>146</v>
      </c>
      <c r="B166" t="s">
        <v>48</v>
      </c>
      <c r="C166" t="s">
        <v>22</v>
      </c>
      <c r="D166">
        <v>19</v>
      </c>
      <c r="E166">
        <v>27719</v>
      </c>
      <c r="F166">
        <v>17109</v>
      </c>
      <c r="G166" t="s">
        <v>10</v>
      </c>
      <c r="H166" t="str">
        <f>TEXT(CleanData[[#This Row],[Date]],"mmm")</f>
        <v>Feb</v>
      </c>
      <c r="I166">
        <f>WEEKNUM(CleanData[[#This Row],[Date]])</f>
        <v>8</v>
      </c>
      <c r="J166">
        <f>IF(CleanData[[#This Row],[Revenue]]&gt;=CleanData[[#This Row],[Target]],1,0)</f>
        <v>1</v>
      </c>
      <c r="K166">
        <f>IF(CleanData[[#This Row],[Attendance_Status]]="Present",1,0)</f>
        <v>1</v>
      </c>
    </row>
    <row r="167" spans="1:11" x14ac:dyDescent="0.3">
      <c r="A167" t="s">
        <v>20</v>
      </c>
      <c r="B167" t="s">
        <v>21</v>
      </c>
      <c r="C167" t="s">
        <v>9</v>
      </c>
      <c r="D167">
        <v>7</v>
      </c>
      <c r="E167">
        <v>21300</v>
      </c>
      <c r="F167">
        <v>22752</v>
      </c>
      <c r="G167" t="s">
        <v>10</v>
      </c>
      <c r="H167" t="str">
        <f>TEXT(CleanData[[#This Row],[Date]],"mmm")</f>
        <v>Feb</v>
      </c>
      <c r="I167">
        <f>WEEKNUM(CleanData[[#This Row],[Date]])</f>
        <v>9</v>
      </c>
      <c r="J167">
        <f>IF(CleanData[[#This Row],[Revenue]]&gt;=CleanData[[#This Row],[Target]],1,0)</f>
        <v>0</v>
      </c>
      <c r="K167">
        <f>IF(CleanData[[#This Row],[Attendance_Status]]="Present",1,0)</f>
        <v>1</v>
      </c>
    </row>
    <row r="168" spans="1:11" x14ac:dyDescent="0.3">
      <c r="A168" t="s">
        <v>147</v>
      </c>
      <c r="B168" t="s">
        <v>35</v>
      </c>
      <c r="C168" t="s">
        <v>9</v>
      </c>
      <c r="D168">
        <v>17</v>
      </c>
      <c r="E168">
        <v>26895</v>
      </c>
      <c r="F168">
        <v>15421</v>
      </c>
      <c r="G168" t="s">
        <v>10</v>
      </c>
      <c r="H168" t="str">
        <f>TEXT(CleanData[[#This Row],[Date]],"mmm")</f>
        <v>Feb</v>
      </c>
      <c r="I168">
        <f>WEEKNUM(CleanData[[#This Row],[Date]])</f>
        <v>7</v>
      </c>
      <c r="J168">
        <f>IF(CleanData[[#This Row],[Revenue]]&gt;=CleanData[[#This Row],[Target]],1,0)</f>
        <v>1</v>
      </c>
      <c r="K168">
        <f>IF(CleanData[[#This Row],[Attendance_Status]]="Present",1,0)</f>
        <v>1</v>
      </c>
    </row>
    <row r="169" spans="1:11" x14ac:dyDescent="0.3">
      <c r="A169" t="s">
        <v>148</v>
      </c>
      <c r="B169" t="s">
        <v>52</v>
      </c>
      <c r="C169" t="s">
        <v>22</v>
      </c>
      <c r="D169">
        <v>19</v>
      </c>
      <c r="E169">
        <v>8642</v>
      </c>
      <c r="F169">
        <v>11068</v>
      </c>
      <c r="G169" t="s">
        <v>10</v>
      </c>
      <c r="H169" t="str">
        <f>TEXT(CleanData[[#This Row],[Date]],"mmm")</f>
        <v>Jun</v>
      </c>
      <c r="I169">
        <f>WEEKNUM(CleanData[[#This Row],[Date]])</f>
        <v>23</v>
      </c>
      <c r="J169">
        <f>IF(CleanData[[#This Row],[Revenue]]&gt;=CleanData[[#This Row],[Target]],1,0)</f>
        <v>0</v>
      </c>
      <c r="K169">
        <f>IF(CleanData[[#This Row],[Attendance_Status]]="Present",1,0)</f>
        <v>1</v>
      </c>
    </row>
    <row r="170" spans="1:11" x14ac:dyDescent="0.3">
      <c r="A170" t="s">
        <v>39</v>
      </c>
      <c r="B170" t="s">
        <v>15</v>
      </c>
      <c r="C170" t="s">
        <v>13</v>
      </c>
      <c r="D170">
        <v>25</v>
      </c>
      <c r="E170">
        <v>29327</v>
      </c>
      <c r="F170">
        <v>17969</v>
      </c>
      <c r="G170" t="s">
        <v>10</v>
      </c>
      <c r="H170" t="str">
        <f>TEXT(CleanData[[#This Row],[Date]],"mmm")</f>
        <v>Feb</v>
      </c>
      <c r="I170">
        <f>WEEKNUM(CleanData[[#This Row],[Date]])</f>
        <v>8</v>
      </c>
      <c r="J170">
        <f>IF(CleanData[[#This Row],[Revenue]]&gt;=CleanData[[#This Row],[Target]],1,0)</f>
        <v>1</v>
      </c>
      <c r="K170">
        <f>IF(CleanData[[#This Row],[Attendance_Status]]="Present",1,0)</f>
        <v>1</v>
      </c>
    </row>
    <row r="171" spans="1:11" x14ac:dyDescent="0.3">
      <c r="A171" t="s">
        <v>138</v>
      </c>
      <c r="B171" t="s">
        <v>48</v>
      </c>
      <c r="C171" t="s">
        <v>22</v>
      </c>
      <c r="D171">
        <v>12</v>
      </c>
      <c r="E171">
        <v>7843</v>
      </c>
      <c r="F171">
        <v>10806</v>
      </c>
      <c r="G171" t="s">
        <v>26</v>
      </c>
      <c r="H171" t="str">
        <f>TEXT(CleanData[[#This Row],[Date]],"mmm")</f>
        <v>Apr</v>
      </c>
      <c r="I171">
        <f>WEEKNUM(CleanData[[#This Row],[Date]])</f>
        <v>14</v>
      </c>
      <c r="J171">
        <f>IF(CleanData[[#This Row],[Revenue]]&gt;=CleanData[[#This Row],[Target]],1,0)</f>
        <v>0</v>
      </c>
      <c r="K171">
        <f>IF(CleanData[[#This Row],[Attendance_Status]]="Present",1,0)</f>
        <v>0</v>
      </c>
    </row>
    <row r="172" spans="1:11" x14ac:dyDescent="0.3">
      <c r="A172" t="s">
        <v>124</v>
      </c>
      <c r="B172" t="s">
        <v>54</v>
      </c>
      <c r="C172" t="s">
        <v>13</v>
      </c>
      <c r="D172">
        <v>7</v>
      </c>
      <c r="E172">
        <v>6679</v>
      </c>
      <c r="F172">
        <v>17623</v>
      </c>
      <c r="G172" t="s">
        <v>10</v>
      </c>
      <c r="H172" t="str">
        <f>TEXT(CleanData[[#This Row],[Date]],"mmm")</f>
        <v>Feb</v>
      </c>
      <c r="I172">
        <f>WEEKNUM(CleanData[[#This Row],[Date]])</f>
        <v>7</v>
      </c>
      <c r="J172">
        <f>IF(CleanData[[#This Row],[Revenue]]&gt;=CleanData[[#This Row],[Target]],1,0)</f>
        <v>0</v>
      </c>
      <c r="K172">
        <f>IF(CleanData[[#This Row],[Attendance_Status]]="Present",1,0)</f>
        <v>1</v>
      </c>
    </row>
    <row r="173" spans="1:11" x14ac:dyDescent="0.3">
      <c r="A173" t="s">
        <v>24</v>
      </c>
      <c r="B173" t="s">
        <v>40</v>
      </c>
      <c r="C173" t="s">
        <v>22</v>
      </c>
      <c r="D173">
        <v>6</v>
      </c>
      <c r="E173">
        <v>19388</v>
      </c>
      <c r="F173">
        <v>22713</v>
      </c>
      <c r="G173" t="s">
        <v>10</v>
      </c>
      <c r="H173" t="str">
        <f>TEXT(CleanData[[#This Row],[Date]],"mmm")</f>
        <v>May</v>
      </c>
      <c r="I173">
        <f>WEEKNUM(CleanData[[#This Row],[Date]])</f>
        <v>20</v>
      </c>
      <c r="J173">
        <f>IF(CleanData[[#This Row],[Revenue]]&gt;=CleanData[[#This Row],[Target]],1,0)</f>
        <v>0</v>
      </c>
      <c r="K173">
        <f>IF(CleanData[[#This Row],[Attendance_Status]]="Present",1,0)</f>
        <v>1</v>
      </c>
    </row>
    <row r="174" spans="1:11" x14ac:dyDescent="0.3">
      <c r="A174" t="s">
        <v>44</v>
      </c>
      <c r="B174" t="s">
        <v>15</v>
      </c>
      <c r="C174" t="s">
        <v>22</v>
      </c>
      <c r="D174">
        <v>8</v>
      </c>
      <c r="E174">
        <v>10544</v>
      </c>
      <c r="F174">
        <v>21212</v>
      </c>
      <c r="G174" t="s">
        <v>10</v>
      </c>
      <c r="H174" t="str">
        <f>TEXT(CleanData[[#This Row],[Date]],"mmm")</f>
        <v>Mar</v>
      </c>
      <c r="I174">
        <f>WEEKNUM(CleanData[[#This Row],[Date]])</f>
        <v>13</v>
      </c>
      <c r="J174">
        <f>IF(CleanData[[#This Row],[Revenue]]&gt;=CleanData[[#This Row],[Target]],1,0)</f>
        <v>0</v>
      </c>
      <c r="K174">
        <f>IF(CleanData[[#This Row],[Attendance_Status]]="Present",1,0)</f>
        <v>1</v>
      </c>
    </row>
    <row r="175" spans="1:11" x14ac:dyDescent="0.3">
      <c r="A175" t="s">
        <v>132</v>
      </c>
      <c r="B175" t="s">
        <v>31</v>
      </c>
      <c r="C175" t="s">
        <v>22</v>
      </c>
      <c r="D175">
        <v>22</v>
      </c>
      <c r="E175">
        <v>19492</v>
      </c>
      <c r="F175">
        <v>10465</v>
      </c>
      <c r="G175" t="s">
        <v>10</v>
      </c>
      <c r="H175" t="str">
        <f>TEXT(CleanData[[#This Row],[Date]],"mmm")</f>
        <v>Jun</v>
      </c>
      <c r="I175">
        <f>WEEKNUM(CleanData[[#This Row],[Date]])</f>
        <v>23</v>
      </c>
      <c r="J175">
        <f>IF(CleanData[[#This Row],[Revenue]]&gt;=CleanData[[#This Row],[Target]],1,0)</f>
        <v>1</v>
      </c>
      <c r="K175">
        <f>IF(CleanData[[#This Row],[Attendance_Status]]="Present",1,0)</f>
        <v>1</v>
      </c>
    </row>
    <row r="176" spans="1:11" x14ac:dyDescent="0.3">
      <c r="A176" t="s">
        <v>23</v>
      </c>
      <c r="B176" t="s">
        <v>69</v>
      </c>
      <c r="C176" t="s">
        <v>22</v>
      </c>
      <c r="D176">
        <v>7</v>
      </c>
      <c r="E176">
        <v>17588</v>
      </c>
      <c r="F176">
        <v>11022</v>
      </c>
      <c r="G176" t="s">
        <v>26</v>
      </c>
      <c r="H176" t="str">
        <f>TEXT(CleanData[[#This Row],[Date]],"mmm")</f>
        <v>Mar</v>
      </c>
      <c r="I176">
        <f>WEEKNUM(CleanData[[#This Row],[Date]])</f>
        <v>10</v>
      </c>
      <c r="J176">
        <f>IF(CleanData[[#This Row],[Revenue]]&gt;=CleanData[[#This Row],[Target]],1,0)</f>
        <v>1</v>
      </c>
      <c r="K176">
        <f>IF(CleanData[[#This Row],[Attendance_Status]]="Present",1,0)</f>
        <v>0</v>
      </c>
    </row>
    <row r="177" spans="1:11" x14ac:dyDescent="0.3">
      <c r="A177" t="s">
        <v>149</v>
      </c>
      <c r="B177" t="s">
        <v>52</v>
      </c>
      <c r="C177" t="s">
        <v>22</v>
      </c>
      <c r="D177">
        <v>16</v>
      </c>
      <c r="E177">
        <v>24103</v>
      </c>
      <c r="F177">
        <v>14553</v>
      </c>
      <c r="G177" t="s">
        <v>10</v>
      </c>
      <c r="H177" t="str">
        <f>TEXT(CleanData[[#This Row],[Date]],"mmm")</f>
        <v>Mar</v>
      </c>
      <c r="I177">
        <f>WEEKNUM(CleanData[[#This Row],[Date]])</f>
        <v>12</v>
      </c>
      <c r="J177">
        <f>IF(CleanData[[#This Row],[Revenue]]&gt;=CleanData[[#This Row],[Target]],1,0)</f>
        <v>1</v>
      </c>
      <c r="K177">
        <f>IF(CleanData[[#This Row],[Attendance_Status]]="Present",1,0)</f>
        <v>1</v>
      </c>
    </row>
    <row r="178" spans="1:11" x14ac:dyDescent="0.3">
      <c r="A178" t="s">
        <v>14</v>
      </c>
      <c r="B178" t="s">
        <v>40</v>
      </c>
      <c r="C178" t="s">
        <v>22</v>
      </c>
      <c r="D178">
        <v>20</v>
      </c>
      <c r="E178">
        <v>26434</v>
      </c>
      <c r="F178">
        <v>20022</v>
      </c>
      <c r="G178" t="s">
        <v>10</v>
      </c>
      <c r="H178" t="str">
        <f>TEXT(CleanData[[#This Row],[Date]],"mmm")</f>
        <v>Jun</v>
      </c>
      <c r="I178">
        <f>WEEKNUM(CleanData[[#This Row],[Date]])</f>
        <v>24</v>
      </c>
      <c r="J178">
        <f>IF(CleanData[[#This Row],[Revenue]]&gt;=CleanData[[#This Row],[Target]],1,0)</f>
        <v>1</v>
      </c>
      <c r="K178">
        <f>IF(CleanData[[#This Row],[Attendance_Status]]="Present",1,0)</f>
        <v>1</v>
      </c>
    </row>
    <row r="179" spans="1:11" x14ac:dyDescent="0.3">
      <c r="A179" t="s">
        <v>104</v>
      </c>
      <c r="B179" t="s">
        <v>21</v>
      </c>
      <c r="C179" t="s">
        <v>22</v>
      </c>
      <c r="D179">
        <v>19</v>
      </c>
      <c r="E179">
        <v>9520</v>
      </c>
      <c r="F179">
        <v>22974</v>
      </c>
      <c r="G179" t="s">
        <v>10</v>
      </c>
      <c r="H179" t="str">
        <f>TEXT(CleanData[[#This Row],[Date]],"mmm")</f>
        <v>Apr</v>
      </c>
      <c r="I179">
        <f>WEEKNUM(CleanData[[#This Row],[Date]])</f>
        <v>16</v>
      </c>
      <c r="J179">
        <f>IF(CleanData[[#This Row],[Revenue]]&gt;=CleanData[[#This Row],[Target]],1,0)</f>
        <v>0</v>
      </c>
      <c r="K179">
        <f>IF(CleanData[[#This Row],[Attendance_Status]]="Present",1,0)</f>
        <v>1</v>
      </c>
    </row>
    <row r="180" spans="1:11" x14ac:dyDescent="0.3">
      <c r="A180" t="s">
        <v>127</v>
      </c>
      <c r="B180" t="s">
        <v>50</v>
      </c>
      <c r="C180" t="s">
        <v>13</v>
      </c>
      <c r="D180">
        <v>22</v>
      </c>
      <c r="E180">
        <v>5618</v>
      </c>
      <c r="F180">
        <v>20336</v>
      </c>
      <c r="G180" t="s">
        <v>10</v>
      </c>
      <c r="H180" t="str">
        <f>TEXT(CleanData[[#This Row],[Date]],"mmm")</f>
        <v>Jun</v>
      </c>
      <c r="I180">
        <f>WEEKNUM(CleanData[[#This Row],[Date]])</f>
        <v>25</v>
      </c>
      <c r="J180">
        <f>IF(CleanData[[#This Row],[Revenue]]&gt;=CleanData[[#This Row],[Target]],1,0)</f>
        <v>0</v>
      </c>
      <c r="K180">
        <f>IF(CleanData[[#This Row],[Attendance_Status]]="Present",1,0)</f>
        <v>1</v>
      </c>
    </row>
    <row r="181" spans="1:11" x14ac:dyDescent="0.3">
      <c r="A181" t="s">
        <v>150</v>
      </c>
      <c r="B181" t="s">
        <v>17</v>
      </c>
      <c r="C181" t="s">
        <v>22</v>
      </c>
      <c r="D181">
        <v>10</v>
      </c>
      <c r="E181">
        <v>17473</v>
      </c>
      <c r="F181">
        <v>17085</v>
      </c>
      <c r="G181" t="s">
        <v>10</v>
      </c>
      <c r="H181" t="str">
        <f>TEXT(CleanData[[#This Row],[Date]],"mmm")</f>
        <v>Feb</v>
      </c>
      <c r="I181">
        <f>WEEKNUM(CleanData[[#This Row],[Date]])</f>
        <v>6</v>
      </c>
      <c r="J181">
        <f>IF(CleanData[[#This Row],[Revenue]]&gt;=CleanData[[#This Row],[Target]],1,0)</f>
        <v>1</v>
      </c>
      <c r="K181">
        <f>IF(CleanData[[#This Row],[Attendance_Status]]="Present",1,0)</f>
        <v>1</v>
      </c>
    </row>
    <row r="182" spans="1:11" x14ac:dyDescent="0.3">
      <c r="A182" t="s">
        <v>151</v>
      </c>
      <c r="B182" t="s">
        <v>101</v>
      </c>
      <c r="C182" t="s">
        <v>9</v>
      </c>
      <c r="D182">
        <v>7</v>
      </c>
      <c r="E182">
        <v>21251</v>
      </c>
      <c r="F182">
        <v>21501</v>
      </c>
      <c r="G182" t="s">
        <v>10</v>
      </c>
      <c r="H182" t="str">
        <f>TEXT(CleanData[[#This Row],[Date]],"mmm")</f>
        <v>Jan</v>
      </c>
      <c r="I182">
        <f>WEEKNUM(CleanData[[#This Row],[Date]])</f>
        <v>5</v>
      </c>
      <c r="J182">
        <f>IF(CleanData[[#This Row],[Revenue]]&gt;=CleanData[[#This Row],[Target]],1,0)</f>
        <v>0</v>
      </c>
      <c r="K182">
        <f>IF(CleanData[[#This Row],[Attendance_Status]]="Present",1,0)</f>
        <v>1</v>
      </c>
    </row>
    <row r="183" spans="1:11" x14ac:dyDescent="0.3">
      <c r="A183" t="s">
        <v>152</v>
      </c>
      <c r="B183" t="s">
        <v>64</v>
      </c>
      <c r="C183" t="s">
        <v>22</v>
      </c>
      <c r="D183">
        <v>25</v>
      </c>
      <c r="E183">
        <v>25195</v>
      </c>
      <c r="F183">
        <v>22794</v>
      </c>
      <c r="G183" t="s">
        <v>10</v>
      </c>
      <c r="H183" t="str">
        <f>TEXT(CleanData[[#This Row],[Date]],"mmm")</f>
        <v>Jan</v>
      </c>
      <c r="I183">
        <f>WEEKNUM(CleanData[[#This Row],[Date]])</f>
        <v>2</v>
      </c>
      <c r="J183">
        <f>IF(CleanData[[#This Row],[Revenue]]&gt;=CleanData[[#This Row],[Target]],1,0)</f>
        <v>1</v>
      </c>
      <c r="K183">
        <f>IF(CleanData[[#This Row],[Attendance_Status]]="Present",1,0)</f>
        <v>1</v>
      </c>
    </row>
    <row r="184" spans="1:11" x14ac:dyDescent="0.3">
      <c r="A184" t="s">
        <v>108</v>
      </c>
      <c r="B184" t="s">
        <v>54</v>
      </c>
      <c r="C184" t="s">
        <v>22</v>
      </c>
      <c r="D184">
        <v>24</v>
      </c>
      <c r="E184">
        <v>15376</v>
      </c>
      <c r="F184">
        <v>24400</v>
      </c>
      <c r="G184" t="s">
        <v>10</v>
      </c>
      <c r="H184" t="str">
        <f>TEXT(CleanData[[#This Row],[Date]],"mmm")</f>
        <v>Apr</v>
      </c>
      <c r="I184">
        <f>WEEKNUM(CleanData[[#This Row],[Date]])</f>
        <v>15</v>
      </c>
      <c r="J184">
        <f>IF(CleanData[[#This Row],[Revenue]]&gt;=CleanData[[#This Row],[Target]],1,0)</f>
        <v>0</v>
      </c>
      <c r="K184">
        <f>IF(CleanData[[#This Row],[Attendance_Status]]="Present",1,0)</f>
        <v>1</v>
      </c>
    </row>
    <row r="185" spans="1:11" x14ac:dyDescent="0.3">
      <c r="A185" t="s">
        <v>32</v>
      </c>
      <c r="B185" t="s">
        <v>8</v>
      </c>
      <c r="C185" t="s">
        <v>22</v>
      </c>
      <c r="D185">
        <v>17</v>
      </c>
      <c r="E185">
        <v>24919</v>
      </c>
      <c r="F185">
        <v>20771</v>
      </c>
      <c r="G185" t="s">
        <v>10</v>
      </c>
      <c r="H185" t="str">
        <f>TEXT(CleanData[[#This Row],[Date]],"mmm")</f>
        <v>Apr</v>
      </c>
      <c r="I185">
        <f>WEEKNUM(CleanData[[#This Row],[Date]])</f>
        <v>14</v>
      </c>
      <c r="J185">
        <f>IF(CleanData[[#This Row],[Revenue]]&gt;=CleanData[[#This Row],[Target]],1,0)</f>
        <v>1</v>
      </c>
      <c r="K185">
        <f>IF(CleanData[[#This Row],[Attendance_Status]]="Present",1,0)</f>
        <v>1</v>
      </c>
    </row>
    <row r="186" spans="1:11" x14ac:dyDescent="0.3">
      <c r="A186" t="s">
        <v>11</v>
      </c>
      <c r="B186" t="s">
        <v>64</v>
      </c>
      <c r="C186" t="s">
        <v>13</v>
      </c>
      <c r="D186">
        <v>15</v>
      </c>
      <c r="E186">
        <v>9782</v>
      </c>
      <c r="F186">
        <v>14186</v>
      </c>
      <c r="G186" t="s">
        <v>26</v>
      </c>
      <c r="H186" t="str">
        <f>TEXT(CleanData[[#This Row],[Date]],"mmm")</f>
        <v>Jun</v>
      </c>
      <c r="I186">
        <f>WEEKNUM(CleanData[[#This Row],[Date]])</f>
        <v>23</v>
      </c>
      <c r="J186">
        <f>IF(CleanData[[#This Row],[Revenue]]&gt;=CleanData[[#This Row],[Target]],1,0)</f>
        <v>0</v>
      </c>
      <c r="K186">
        <f>IF(CleanData[[#This Row],[Attendance_Status]]="Present",1,0)</f>
        <v>0</v>
      </c>
    </row>
    <row r="187" spans="1:11" x14ac:dyDescent="0.3">
      <c r="A187" t="s">
        <v>153</v>
      </c>
      <c r="B187" t="s">
        <v>50</v>
      </c>
      <c r="C187" t="s">
        <v>13</v>
      </c>
      <c r="D187">
        <v>10</v>
      </c>
      <c r="E187">
        <v>7564</v>
      </c>
      <c r="F187">
        <v>13726</v>
      </c>
      <c r="G187" t="s">
        <v>10</v>
      </c>
      <c r="H187" t="str">
        <f>TEXT(CleanData[[#This Row],[Date]],"mmm")</f>
        <v>Apr</v>
      </c>
      <c r="I187">
        <f>WEEKNUM(CleanData[[#This Row],[Date]])</f>
        <v>15</v>
      </c>
      <c r="J187">
        <f>IF(CleanData[[#This Row],[Revenue]]&gt;=CleanData[[#This Row],[Target]],1,0)</f>
        <v>0</v>
      </c>
      <c r="K187">
        <f>IF(CleanData[[#This Row],[Attendance_Status]]="Present",1,0)</f>
        <v>1</v>
      </c>
    </row>
    <row r="188" spans="1:11" x14ac:dyDescent="0.3">
      <c r="A188" t="s">
        <v>154</v>
      </c>
      <c r="B188" t="s">
        <v>75</v>
      </c>
      <c r="C188" t="s">
        <v>9</v>
      </c>
      <c r="D188">
        <v>23</v>
      </c>
      <c r="E188">
        <v>11648</v>
      </c>
      <c r="F188">
        <v>21331</v>
      </c>
      <c r="G188" t="s">
        <v>10</v>
      </c>
      <c r="H188" t="str">
        <f>TEXT(CleanData[[#This Row],[Date]],"mmm")</f>
        <v>Jun</v>
      </c>
      <c r="I188">
        <f>WEEKNUM(CleanData[[#This Row],[Date]])</f>
        <v>24</v>
      </c>
      <c r="J188">
        <f>IF(CleanData[[#This Row],[Revenue]]&gt;=CleanData[[#This Row],[Target]],1,0)</f>
        <v>0</v>
      </c>
      <c r="K188">
        <f>IF(CleanData[[#This Row],[Attendance_Status]]="Present",1,0)</f>
        <v>1</v>
      </c>
    </row>
    <row r="189" spans="1:11" x14ac:dyDescent="0.3">
      <c r="A189" t="s">
        <v>135</v>
      </c>
      <c r="B189" t="s">
        <v>56</v>
      </c>
      <c r="C189" t="s">
        <v>9</v>
      </c>
      <c r="D189">
        <v>18</v>
      </c>
      <c r="E189">
        <v>29493</v>
      </c>
      <c r="F189">
        <v>21406</v>
      </c>
      <c r="G189" t="s">
        <v>10</v>
      </c>
      <c r="H189" t="str">
        <f>TEXT(CleanData[[#This Row],[Date]],"mmm")</f>
        <v>Feb</v>
      </c>
      <c r="I189">
        <f>WEEKNUM(CleanData[[#This Row],[Date]])</f>
        <v>6</v>
      </c>
      <c r="J189">
        <f>IF(CleanData[[#This Row],[Revenue]]&gt;=CleanData[[#This Row],[Target]],1,0)</f>
        <v>1</v>
      </c>
      <c r="K189">
        <f>IF(CleanData[[#This Row],[Attendance_Status]]="Present",1,0)</f>
        <v>1</v>
      </c>
    </row>
    <row r="190" spans="1:11" x14ac:dyDescent="0.3">
      <c r="A190" t="s">
        <v>155</v>
      </c>
      <c r="B190" t="s">
        <v>35</v>
      </c>
      <c r="C190" t="s">
        <v>22</v>
      </c>
      <c r="D190">
        <v>21</v>
      </c>
      <c r="E190">
        <v>24354</v>
      </c>
      <c r="F190">
        <v>16417</v>
      </c>
      <c r="G190" t="s">
        <v>10</v>
      </c>
      <c r="H190" t="str">
        <f>TEXT(CleanData[[#This Row],[Date]],"mmm")</f>
        <v>May</v>
      </c>
      <c r="I190">
        <f>WEEKNUM(CleanData[[#This Row],[Date]])</f>
        <v>20</v>
      </c>
      <c r="J190">
        <f>IF(CleanData[[#This Row],[Revenue]]&gt;=CleanData[[#This Row],[Target]],1,0)</f>
        <v>1</v>
      </c>
      <c r="K190">
        <f>IF(CleanData[[#This Row],[Attendance_Status]]="Present",1,0)</f>
        <v>1</v>
      </c>
    </row>
    <row r="191" spans="1:11" x14ac:dyDescent="0.3">
      <c r="A191" t="s">
        <v>89</v>
      </c>
      <c r="B191" t="s">
        <v>27</v>
      </c>
      <c r="C191" t="s">
        <v>13</v>
      </c>
      <c r="D191">
        <v>5</v>
      </c>
      <c r="E191">
        <v>12250</v>
      </c>
      <c r="F191">
        <v>23591</v>
      </c>
      <c r="G191" t="s">
        <v>10</v>
      </c>
      <c r="H191" t="str">
        <f>TEXT(CleanData[[#This Row],[Date]],"mmm")</f>
        <v>Jun</v>
      </c>
      <c r="I191">
        <f>WEEKNUM(CleanData[[#This Row],[Date]])</f>
        <v>23</v>
      </c>
      <c r="J191">
        <f>IF(CleanData[[#This Row],[Revenue]]&gt;=CleanData[[#This Row],[Target]],1,0)</f>
        <v>0</v>
      </c>
      <c r="K191">
        <f>IF(CleanData[[#This Row],[Attendance_Status]]="Present",1,0)</f>
        <v>1</v>
      </c>
    </row>
    <row r="192" spans="1:11" x14ac:dyDescent="0.3">
      <c r="A192" t="s">
        <v>30</v>
      </c>
      <c r="B192" t="s">
        <v>101</v>
      </c>
      <c r="C192" t="s">
        <v>9</v>
      </c>
      <c r="D192">
        <v>8</v>
      </c>
      <c r="E192">
        <v>20893</v>
      </c>
      <c r="F192">
        <v>20389</v>
      </c>
      <c r="G192" t="s">
        <v>10</v>
      </c>
      <c r="H192" t="str">
        <f>TEXT(CleanData[[#This Row],[Date]],"mmm")</f>
        <v>Mar</v>
      </c>
      <c r="I192">
        <f>WEEKNUM(CleanData[[#This Row],[Date]])</f>
        <v>11</v>
      </c>
      <c r="J192">
        <f>IF(CleanData[[#This Row],[Revenue]]&gt;=CleanData[[#This Row],[Target]],1,0)</f>
        <v>1</v>
      </c>
      <c r="K192">
        <f>IF(CleanData[[#This Row],[Attendance_Status]]="Present",1,0)</f>
        <v>1</v>
      </c>
    </row>
    <row r="193" spans="1:11" x14ac:dyDescent="0.3">
      <c r="A193" t="s">
        <v>108</v>
      </c>
      <c r="B193" t="s">
        <v>21</v>
      </c>
      <c r="C193" t="s">
        <v>22</v>
      </c>
      <c r="D193">
        <v>7</v>
      </c>
      <c r="E193">
        <v>19610</v>
      </c>
      <c r="F193">
        <v>17655</v>
      </c>
      <c r="G193" t="s">
        <v>10</v>
      </c>
      <c r="H193" t="str">
        <f>TEXT(CleanData[[#This Row],[Date]],"mmm")</f>
        <v>Apr</v>
      </c>
      <c r="I193">
        <f>WEEKNUM(CleanData[[#This Row],[Date]])</f>
        <v>15</v>
      </c>
      <c r="J193">
        <f>IF(CleanData[[#This Row],[Revenue]]&gt;=CleanData[[#This Row],[Target]],1,0)</f>
        <v>1</v>
      </c>
      <c r="K193">
        <f>IF(CleanData[[#This Row],[Attendance_Status]]="Present",1,0)</f>
        <v>1</v>
      </c>
    </row>
    <row r="194" spans="1:11" x14ac:dyDescent="0.3">
      <c r="A194" t="s">
        <v>65</v>
      </c>
      <c r="B194" t="s">
        <v>15</v>
      </c>
      <c r="C194" t="s">
        <v>22</v>
      </c>
      <c r="D194">
        <v>9</v>
      </c>
      <c r="E194">
        <v>23105</v>
      </c>
      <c r="F194">
        <v>16594</v>
      </c>
      <c r="G194" t="s">
        <v>26</v>
      </c>
      <c r="H194" t="str">
        <f>TEXT(CleanData[[#This Row],[Date]],"mmm")</f>
        <v>Apr</v>
      </c>
      <c r="I194">
        <f>WEEKNUM(CleanData[[#This Row],[Date]])</f>
        <v>14</v>
      </c>
      <c r="J194">
        <f>IF(CleanData[[#This Row],[Revenue]]&gt;=CleanData[[#This Row],[Target]],1,0)</f>
        <v>1</v>
      </c>
      <c r="K194">
        <f>IF(CleanData[[#This Row],[Attendance_Status]]="Present",1,0)</f>
        <v>0</v>
      </c>
    </row>
    <row r="195" spans="1:11" x14ac:dyDescent="0.3">
      <c r="A195" t="s">
        <v>88</v>
      </c>
      <c r="B195" t="s">
        <v>46</v>
      </c>
      <c r="C195" t="s">
        <v>9</v>
      </c>
      <c r="D195">
        <v>10</v>
      </c>
      <c r="E195">
        <v>6122</v>
      </c>
      <c r="F195">
        <v>23399</v>
      </c>
      <c r="G195" t="s">
        <v>10</v>
      </c>
      <c r="H195" t="str">
        <f>TEXT(CleanData[[#This Row],[Date]],"mmm")</f>
        <v>Jun</v>
      </c>
      <c r="I195">
        <f>WEEKNUM(CleanData[[#This Row],[Date]])</f>
        <v>26</v>
      </c>
      <c r="J195">
        <f>IF(CleanData[[#This Row],[Revenue]]&gt;=CleanData[[#This Row],[Target]],1,0)</f>
        <v>0</v>
      </c>
      <c r="K195">
        <f>IF(CleanData[[#This Row],[Attendance_Status]]="Present",1,0)</f>
        <v>1</v>
      </c>
    </row>
    <row r="196" spans="1:11" x14ac:dyDescent="0.3">
      <c r="A196" t="s">
        <v>20</v>
      </c>
      <c r="B196" t="s">
        <v>56</v>
      </c>
      <c r="C196" t="s">
        <v>9</v>
      </c>
      <c r="D196">
        <v>18</v>
      </c>
      <c r="E196">
        <v>25642</v>
      </c>
      <c r="F196">
        <v>12490</v>
      </c>
      <c r="G196" t="s">
        <v>26</v>
      </c>
      <c r="H196" t="str">
        <f>TEXT(CleanData[[#This Row],[Date]],"mmm")</f>
        <v>Feb</v>
      </c>
      <c r="I196">
        <f>WEEKNUM(CleanData[[#This Row],[Date]])</f>
        <v>9</v>
      </c>
      <c r="J196">
        <f>IF(CleanData[[#This Row],[Revenue]]&gt;=CleanData[[#This Row],[Target]],1,0)</f>
        <v>1</v>
      </c>
      <c r="K196">
        <f>IF(CleanData[[#This Row],[Attendance_Status]]="Present",1,0)</f>
        <v>0</v>
      </c>
    </row>
    <row r="197" spans="1:11" x14ac:dyDescent="0.3">
      <c r="A197" t="s">
        <v>38</v>
      </c>
      <c r="B197" t="s">
        <v>50</v>
      </c>
      <c r="C197" t="s">
        <v>22</v>
      </c>
      <c r="D197">
        <v>15</v>
      </c>
      <c r="E197">
        <v>9623</v>
      </c>
      <c r="F197">
        <v>22615</v>
      </c>
      <c r="G197" t="s">
        <v>10</v>
      </c>
      <c r="H197" t="str">
        <f>TEXT(CleanData[[#This Row],[Date]],"mmm")</f>
        <v>Jan</v>
      </c>
      <c r="I197">
        <f>WEEKNUM(CleanData[[#This Row],[Date]])</f>
        <v>3</v>
      </c>
      <c r="J197">
        <f>IF(CleanData[[#This Row],[Revenue]]&gt;=CleanData[[#This Row],[Target]],1,0)</f>
        <v>0</v>
      </c>
      <c r="K197">
        <f>IF(CleanData[[#This Row],[Attendance_Status]]="Present",1,0)</f>
        <v>1</v>
      </c>
    </row>
    <row r="198" spans="1:11" x14ac:dyDescent="0.3">
      <c r="A198" t="s">
        <v>156</v>
      </c>
      <c r="B198" t="s">
        <v>19</v>
      </c>
      <c r="C198" t="s">
        <v>9</v>
      </c>
      <c r="D198">
        <v>24</v>
      </c>
      <c r="E198">
        <v>7993</v>
      </c>
      <c r="F198">
        <v>15046</v>
      </c>
      <c r="G198" t="s">
        <v>10</v>
      </c>
      <c r="H198" t="str">
        <f>TEXT(CleanData[[#This Row],[Date]],"mmm")</f>
        <v>Jan</v>
      </c>
      <c r="I198">
        <f>WEEKNUM(CleanData[[#This Row],[Date]])</f>
        <v>1</v>
      </c>
      <c r="J198">
        <f>IF(CleanData[[#This Row],[Revenue]]&gt;=CleanData[[#This Row],[Target]],1,0)</f>
        <v>0</v>
      </c>
      <c r="K198">
        <f>IF(CleanData[[#This Row],[Attendance_Status]]="Present",1,0)</f>
        <v>1</v>
      </c>
    </row>
    <row r="199" spans="1:11" x14ac:dyDescent="0.3">
      <c r="A199" t="s">
        <v>28</v>
      </c>
      <c r="B199" t="s">
        <v>54</v>
      </c>
      <c r="C199" t="s">
        <v>13</v>
      </c>
      <c r="D199">
        <v>13</v>
      </c>
      <c r="E199">
        <v>28843</v>
      </c>
      <c r="F199">
        <v>14898</v>
      </c>
      <c r="G199" t="s">
        <v>10</v>
      </c>
      <c r="H199" t="str">
        <f>TEXT(CleanData[[#This Row],[Date]],"mmm")</f>
        <v>Mar</v>
      </c>
      <c r="I199">
        <f>WEEKNUM(CleanData[[#This Row],[Date]])</f>
        <v>12</v>
      </c>
      <c r="J199">
        <f>IF(CleanData[[#This Row],[Revenue]]&gt;=CleanData[[#This Row],[Target]],1,0)</f>
        <v>1</v>
      </c>
      <c r="K199">
        <f>IF(CleanData[[#This Row],[Attendance_Status]]="Present",1,0)</f>
        <v>1</v>
      </c>
    </row>
    <row r="200" spans="1:11" x14ac:dyDescent="0.3">
      <c r="A200" t="s">
        <v>157</v>
      </c>
      <c r="B200" t="s">
        <v>75</v>
      </c>
      <c r="C200" t="s">
        <v>13</v>
      </c>
      <c r="D200">
        <v>8</v>
      </c>
      <c r="E200">
        <v>11469</v>
      </c>
      <c r="F200">
        <v>14917</v>
      </c>
      <c r="G200" t="s">
        <v>10</v>
      </c>
      <c r="H200" t="str">
        <f>TEXT(CleanData[[#This Row],[Date]],"mmm")</f>
        <v>Jan</v>
      </c>
      <c r="I200">
        <f>WEEKNUM(CleanData[[#This Row],[Date]])</f>
        <v>3</v>
      </c>
      <c r="J200">
        <f>IF(CleanData[[#This Row],[Revenue]]&gt;=CleanData[[#This Row],[Target]],1,0)</f>
        <v>0</v>
      </c>
      <c r="K200">
        <f>IF(CleanData[[#This Row],[Attendance_Status]]="Present",1,0)</f>
        <v>1</v>
      </c>
    </row>
    <row r="201" spans="1:11" x14ac:dyDescent="0.3">
      <c r="A201" t="s">
        <v>47</v>
      </c>
      <c r="B201" t="s">
        <v>73</v>
      </c>
      <c r="C201" t="s">
        <v>13</v>
      </c>
      <c r="D201">
        <v>10</v>
      </c>
      <c r="E201">
        <v>5873</v>
      </c>
      <c r="F201">
        <v>23966</v>
      </c>
      <c r="G201" t="s">
        <v>10</v>
      </c>
      <c r="H201" t="str">
        <f>TEXT(CleanData[[#This Row],[Date]],"mmm")</f>
        <v>May</v>
      </c>
      <c r="I201">
        <f>WEEKNUM(CleanData[[#This Row],[Date]])</f>
        <v>22</v>
      </c>
      <c r="J201">
        <f>IF(CleanData[[#This Row],[Revenue]]&gt;=CleanData[[#This Row],[Target]],1,0)</f>
        <v>0</v>
      </c>
      <c r="K201">
        <f>IF(CleanData[[#This Row],[Attendance_Status]]="Present",1,0)</f>
        <v>1</v>
      </c>
    </row>
    <row r="202" spans="1:11" x14ac:dyDescent="0.3">
      <c r="A202" t="s">
        <v>158</v>
      </c>
      <c r="B202" t="s">
        <v>101</v>
      </c>
      <c r="C202" t="s">
        <v>22</v>
      </c>
      <c r="D202">
        <v>10</v>
      </c>
      <c r="E202">
        <v>18012</v>
      </c>
      <c r="F202">
        <v>24966</v>
      </c>
      <c r="G202" t="s">
        <v>10</v>
      </c>
      <c r="H202" t="str">
        <f>TEXT(CleanData[[#This Row],[Date]],"mmm")</f>
        <v>Jun</v>
      </c>
      <c r="I202">
        <f>WEEKNUM(CleanData[[#This Row],[Date]])</f>
        <v>24</v>
      </c>
      <c r="J202">
        <f>IF(CleanData[[#This Row],[Revenue]]&gt;=CleanData[[#This Row],[Target]],1,0)</f>
        <v>0</v>
      </c>
      <c r="K202">
        <f>IF(CleanData[[#This Row],[Attendance_Status]]="Present",1,0)</f>
        <v>1</v>
      </c>
    </row>
    <row r="203" spans="1:11" x14ac:dyDescent="0.3">
      <c r="A203" t="s">
        <v>84</v>
      </c>
      <c r="B203" t="s">
        <v>33</v>
      </c>
      <c r="C203" t="s">
        <v>22</v>
      </c>
      <c r="D203">
        <v>6</v>
      </c>
      <c r="E203">
        <v>8088</v>
      </c>
      <c r="F203">
        <v>10193</v>
      </c>
      <c r="G203" t="s">
        <v>10</v>
      </c>
      <c r="H203" t="str">
        <f>TEXT(CleanData[[#This Row],[Date]],"mmm")</f>
        <v>May</v>
      </c>
      <c r="I203">
        <f>WEEKNUM(CleanData[[#This Row],[Date]])</f>
        <v>19</v>
      </c>
      <c r="J203">
        <f>IF(CleanData[[#This Row],[Revenue]]&gt;=CleanData[[#This Row],[Target]],1,0)</f>
        <v>0</v>
      </c>
      <c r="K203">
        <f>IF(CleanData[[#This Row],[Attendance_Status]]="Present",1,0)</f>
        <v>1</v>
      </c>
    </row>
    <row r="204" spans="1:11" x14ac:dyDescent="0.3">
      <c r="A204" t="s">
        <v>131</v>
      </c>
      <c r="B204" t="s">
        <v>120</v>
      </c>
      <c r="C204" t="s">
        <v>22</v>
      </c>
      <c r="D204">
        <v>11</v>
      </c>
      <c r="E204">
        <v>29961</v>
      </c>
      <c r="F204">
        <v>11170</v>
      </c>
      <c r="G204" t="s">
        <v>26</v>
      </c>
      <c r="H204" t="str">
        <f>TEXT(CleanData[[#This Row],[Date]],"mmm")</f>
        <v>Feb</v>
      </c>
      <c r="I204">
        <f>WEEKNUM(CleanData[[#This Row],[Date]])</f>
        <v>6</v>
      </c>
      <c r="J204">
        <f>IF(CleanData[[#This Row],[Revenue]]&gt;=CleanData[[#This Row],[Target]],1,0)</f>
        <v>1</v>
      </c>
      <c r="K204">
        <f>IF(CleanData[[#This Row],[Attendance_Status]]="Present",1,0)</f>
        <v>0</v>
      </c>
    </row>
    <row r="205" spans="1:11" x14ac:dyDescent="0.3">
      <c r="A205" t="s">
        <v>119</v>
      </c>
      <c r="B205" t="s">
        <v>33</v>
      </c>
      <c r="C205" t="s">
        <v>13</v>
      </c>
      <c r="D205">
        <v>6</v>
      </c>
      <c r="E205">
        <v>15169</v>
      </c>
      <c r="F205">
        <v>15688</v>
      </c>
      <c r="G205" t="s">
        <v>10</v>
      </c>
      <c r="H205" t="str">
        <f>TEXT(CleanData[[#This Row],[Date]],"mmm")</f>
        <v>Jan</v>
      </c>
      <c r="I205">
        <f>WEEKNUM(CleanData[[#This Row],[Date]])</f>
        <v>4</v>
      </c>
      <c r="J205">
        <f>IF(CleanData[[#This Row],[Revenue]]&gt;=CleanData[[#This Row],[Target]],1,0)</f>
        <v>0</v>
      </c>
      <c r="K205">
        <f>IF(CleanData[[#This Row],[Attendance_Status]]="Present",1,0)</f>
        <v>1</v>
      </c>
    </row>
    <row r="206" spans="1:11" x14ac:dyDescent="0.3">
      <c r="A206" t="s">
        <v>159</v>
      </c>
      <c r="B206" t="s">
        <v>29</v>
      </c>
      <c r="C206" t="s">
        <v>13</v>
      </c>
      <c r="D206">
        <v>7</v>
      </c>
      <c r="E206">
        <v>12352</v>
      </c>
      <c r="F206">
        <v>21502</v>
      </c>
      <c r="G206" t="s">
        <v>10</v>
      </c>
      <c r="H206" t="str">
        <f>TEXT(CleanData[[#This Row],[Date]],"mmm")</f>
        <v>May</v>
      </c>
      <c r="I206">
        <f>WEEKNUM(CleanData[[#This Row],[Date]])</f>
        <v>18</v>
      </c>
      <c r="J206">
        <f>IF(CleanData[[#This Row],[Revenue]]&gt;=CleanData[[#This Row],[Target]],1,0)</f>
        <v>0</v>
      </c>
      <c r="K206">
        <f>IF(CleanData[[#This Row],[Attendance_Status]]="Present",1,0)</f>
        <v>1</v>
      </c>
    </row>
    <row r="207" spans="1:11" x14ac:dyDescent="0.3">
      <c r="A207" t="s">
        <v>55</v>
      </c>
      <c r="B207" t="s">
        <v>73</v>
      </c>
      <c r="C207" t="s">
        <v>9</v>
      </c>
      <c r="D207">
        <v>7</v>
      </c>
      <c r="E207">
        <v>18850</v>
      </c>
      <c r="F207">
        <v>10048</v>
      </c>
      <c r="G207" t="s">
        <v>10</v>
      </c>
      <c r="H207" t="str">
        <f>TEXT(CleanData[[#This Row],[Date]],"mmm")</f>
        <v>Feb</v>
      </c>
      <c r="I207">
        <f>WEEKNUM(CleanData[[#This Row],[Date]])</f>
        <v>8</v>
      </c>
      <c r="J207">
        <f>IF(CleanData[[#This Row],[Revenue]]&gt;=CleanData[[#This Row],[Target]],1,0)</f>
        <v>1</v>
      </c>
      <c r="K207">
        <f>IF(CleanData[[#This Row],[Attendance_Status]]="Present",1,0)</f>
        <v>1</v>
      </c>
    </row>
    <row r="208" spans="1:11" x14ac:dyDescent="0.3">
      <c r="A208" t="s">
        <v>160</v>
      </c>
      <c r="B208" t="s">
        <v>79</v>
      </c>
      <c r="C208" t="s">
        <v>9</v>
      </c>
      <c r="D208">
        <v>9</v>
      </c>
      <c r="E208">
        <v>6124</v>
      </c>
      <c r="F208">
        <v>22258</v>
      </c>
      <c r="G208" t="s">
        <v>10</v>
      </c>
      <c r="H208" t="str">
        <f>TEXT(CleanData[[#This Row],[Date]],"mmm")</f>
        <v>Feb</v>
      </c>
      <c r="I208">
        <f>WEEKNUM(CleanData[[#This Row],[Date]])</f>
        <v>7</v>
      </c>
      <c r="J208">
        <f>IF(CleanData[[#This Row],[Revenue]]&gt;=CleanData[[#This Row],[Target]],1,0)</f>
        <v>0</v>
      </c>
      <c r="K208">
        <f>IF(CleanData[[#This Row],[Attendance_Status]]="Present",1,0)</f>
        <v>1</v>
      </c>
    </row>
    <row r="209" spans="1:11" x14ac:dyDescent="0.3">
      <c r="A209" t="s">
        <v>161</v>
      </c>
      <c r="B209" t="s">
        <v>101</v>
      </c>
      <c r="C209" t="s">
        <v>22</v>
      </c>
      <c r="D209">
        <v>25</v>
      </c>
      <c r="E209">
        <v>19343</v>
      </c>
      <c r="F209">
        <v>15017</v>
      </c>
      <c r="G209" t="s">
        <v>26</v>
      </c>
      <c r="H209" t="str">
        <f>TEXT(CleanData[[#This Row],[Date]],"mmm")</f>
        <v>Mar</v>
      </c>
      <c r="I209">
        <f>WEEKNUM(CleanData[[#This Row],[Date]])</f>
        <v>13</v>
      </c>
      <c r="J209">
        <f>IF(CleanData[[#This Row],[Revenue]]&gt;=CleanData[[#This Row],[Target]],1,0)</f>
        <v>1</v>
      </c>
      <c r="K209">
        <f>IF(CleanData[[#This Row],[Attendance_Status]]="Present",1,0)</f>
        <v>0</v>
      </c>
    </row>
    <row r="210" spans="1:11" x14ac:dyDescent="0.3">
      <c r="A210" t="s">
        <v>143</v>
      </c>
      <c r="B210" t="s">
        <v>52</v>
      </c>
      <c r="C210" t="s">
        <v>9</v>
      </c>
      <c r="D210">
        <v>13</v>
      </c>
      <c r="E210">
        <v>29340</v>
      </c>
      <c r="F210">
        <v>13389</v>
      </c>
      <c r="G210" t="s">
        <v>10</v>
      </c>
      <c r="H210" t="str">
        <f>TEXT(CleanData[[#This Row],[Date]],"mmm")</f>
        <v>Jan</v>
      </c>
      <c r="I210">
        <f>WEEKNUM(CleanData[[#This Row],[Date]])</f>
        <v>2</v>
      </c>
      <c r="J210">
        <f>IF(CleanData[[#This Row],[Revenue]]&gt;=CleanData[[#This Row],[Target]],1,0)</f>
        <v>1</v>
      </c>
      <c r="K210">
        <f>IF(CleanData[[#This Row],[Attendance_Status]]="Present",1,0)</f>
        <v>1</v>
      </c>
    </row>
    <row r="211" spans="1:11" x14ac:dyDescent="0.3">
      <c r="A211" t="s">
        <v>162</v>
      </c>
      <c r="B211" t="s">
        <v>19</v>
      </c>
      <c r="C211" t="s">
        <v>9</v>
      </c>
      <c r="D211">
        <v>8</v>
      </c>
      <c r="E211">
        <v>15202</v>
      </c>
      <c r="F211">
        <v>19422</v>
      </c>
      <c r="G211" t="s">
        <v>10</v>
      </c>
      <c r="H211" t="str">
        <f>TEXT(CleanData[[#This Row],[Date]],"mmm")</f>
        <v>Apr</v>
      </c>
      <c r="I211">
        <f>WEEKNUM(CleanData[[#This Row],[Date]])</f>
        <v>17</v>
      </c>
      <c r="J211">
        <f>IF(CleanData[[#This Row],[Revenue]]&gt;=CleanData[[#This Row],[Target]],1,0)</f>
        <v>0</v>
      </c>
      <c r="K211">
        <f>IF(CleanData[[#This Row],[Attendance_Status]]="Present",1,0)</f>
        <v>1</v>
      </c>
    </row>
    <row r="212" spans="1:11" x14ac:dyDescent="0.3">
      <c r="A212" t="s">
        <v>127</v>
      </c>
      <c r="B212" t="s">
        <v>25</v>
      </c>
      <c r="C212" t="s">
        <v>22</v>
      </c>
      <c r="D212">
        <v>18</v>
      </c>
      <c r="E212">
        <v>5367</v>
      </c>
      <c r="F212">
        <v>24209</v>
      </c>
      <c r="G212" t="s">
        <v>10</v>
      </c>
      <c r="H212" t="str">
        <f>TEXT(CleanData[[#This Row],[Date]],"mmm")</f>
        <v>Jun</v>
      </c>
      <c r="I212">
        <f>WEEKNUM(CleanData[[#This Row],[Date]])</f>
        <v>25</v>
      </c>
      <c r="J212">
        <f>IF(CleanData[[#This Row],[Revenue]]&gt;=CleanData[[#This Row],[Target]],1,0)</f>
        <v>0</v>
      </c>
      <c r="K212">
        <f>IF(CleanData[[#This Row],[Attendance_Status]]="Present",1,0)</f>
        <v>1</v>
      </c>
    </row>
    <row r="213" spans="1:11" x14ac:dyDescent="0.3">
      <c r="A213" t="s">
        <v>163</v>
      </c>
      <c r="B213" t="s">
        <v>64</v>
      </c>
      <c r="C213" t="s">
        <v>9</v>
      </c>
      <c r="D213">
        <v>23</v>
      </c>
      <c r="E213">
        <v>9823</v>
      </c>
      <c r="F213">
        <v>18779</v>
      </c>
      <c r="G213" t="s">
        <v>10</v>
      </c>
      <c r="H213" t="str">
        <f>TEXT(CleanData[[#This Row],[Date]],"mmm")</f>
        <v>Jan</v>
      </c>
      <c r="I213">
        <f>WEEKNUM(CleanData[[#This Row],[Date]])</f>
        <v>2</v>
      </c>
      <c r="J213">
        <f>IF(CleanData[[#This Row],[Revenue]]&gt;=CleanData[[#This Row],[Target]],1,0)</f>
        <v>0</v>
      </c>
      <c r="K213">
        <f>IF(CleanData[[#This Row],[Attendance_Status]]="Present",1,0)</f>
        <v>1</v>
      </c>
    </row>
    <row r="214" spans="1:11" x14ac:dyDescent="0.3">
      <c r="A214" t="s">
        <v>164</v>
      </c>
      <c r="B214" t="s">
        <v>75</v>
      </c>
      <c r="C214" t="s">
        <v>13</v>
      </c>
      <c r="D214">
        <v>10</v>
      </c>
      <c r="E214">
        <v>28271</v>
      </c>
      <c r="F214">
        <v>23143</v>
      </c>
      <c r="G214" t="s">
        <v>10</v>
      </c>
      <c r="H214" t="str">
        <f>TEXT(CleanData[[#This Row],[Date]],"mmm")</f>
        <v>Jun</v>
      </c>
      <c r="I214">
        <f>WEEKNUM(CleanData[[#This Row],[Date]])</f>
        <v>24</v>
      </c>
      <c r="J214">
        <f>IF(CleanData[[#This Row],[Revenue]]&gt;=CleanData[[#This Row],[Target]],1,0)</f>
        <v>1</v>
      </c>
      <c r="K214">
        <f>IF(CleanData[[#This Row],[Attendance_Status]]="Present",1,0)</f>
        <v>1</v>
      </c>
    </row>
    <row r="215" spans="1:11" x14ac:dyDescent="0.3">
      <c r="A215" t="s">
        <v>149</v>
      </c>
      <c r="B215" t="s">
        <v>40</v>
      </c>
      <c r="C215" t="s">
        <v>22</v>
      </c>
      <c r="D215">
        <v>12</v>
      </c>
      <c r="E215">
        <v>19180</v>
      </c>
      <c r="F215">
        <v>18399</v>
      </c>
      <c r="G215" t="s">
        <v>10</v>
      </c>
      <c r="H215" t="str">
        <f>TEXT(CleanData[[#This Row],[Date]],"mmm")</f>
        <v>Mar</v>
      </c>
      <c r="I215">
        <f>WEEKNUM(CleanData[[#This Row],[Date]])</f>
        <v>12</v>
      </c>
      <c r="J215">
        <f>IF(CleanData[[#This Row],[Revenue]]&gt;=CleanData[[#This Row],[Target]],1,0)</f>
        <v>1</v>
      </c>
      <c r="K215">
        <f>IF(CleanData[[#This Row],[Attendance_Status]]="Present",1,0)</f>
        <v>1</v>
      </c>
    </row>
    <row r="216" spans="1:11" x14ac:dyDescent="0.3">
      <c r="A216" t="s">
        <v>32</v>
      </c>
      <c r="B216" t="s">
        <v>42</v>
      </c>
      <c r="C216" t="s">
        <v>22</v>
      </c>
      <c r="D216">
        <v>25</v>
      </c>
      <c r="E216">
        <v>21780</v>
      </c>
      <c r="F216">
        <v>18391</v>
      </c>
      <c r="G216" t="s">
        <v>10</v>
      </c>
      <c r="H216" t="str">
        <f>TEXT(CleanData[[#This Row],[Date]],"mmm")</f>
        <v>Apr</v>
      </c>
      <c r="I216">
        <f>WEEKNUM(CleanData[[#This Row],[Date]])</f>
        <v>14</v>
      </c>
      <c r="J216">
        <f>IF(CleanData[[#This Row],[Revenue]]&gt;=CleanData[[#This Row],[Target]],1,0)</f>
        <v>1</v>
      </c>
      <c r="K216">
        <f>IF(CleanData[[#This Row],[Attendance_Status]]="Present",1,0)</f>
        <v>1</v>
      </c>
    </row>
    <row r="217" spans="1:11" x14ac:dyDescent="0.3">
      <c r="A217" t="s">
        <v>20</v>
      </c>
      <c r="B217" t="s">
        <v>35</v>
      </c>
      <c r="C217" t="s">
        <v>9</v>
      </c>
      <c r="D217">
        <v>5</v>
      </c>
      <c r="E217">
        <v>22013</v>
      </c>
      <c r="F217">
        <v>23669</v>
      </c>
      <c r="G217" t="s">
        <v>10</v>
      </c>
      <c r="H217" t="str">
        <f>TEXT(CleanData[[#This Row],[Date]],"mmm")</f>
        <v>Feb</v>
      </c>
      <c r="I217">
        <f>WEEKNUM(CleanData[[#This Row],[Date]])</f>
        <v>9</v>
      </c>
      <c r="J217">
        <f>IF(CleanData[[#This Row],[Revenue]]&gt;=CleanData[[#This Row],[Target]],1,0)</f>
        <v>0</v>
      </c>
      <c r="K217">
        <f>IF(CleanData[[#This Row],[Attendance_Status]]="Present",1,0)</f>
        <v>1</v>
      </c>
    </row>
    <row r="218" spans="1:11" x14ac:dyDescent="0.3">
      <c r="A218" t="s">
        <v>82</v>
      </c>
      <c r="B218" t="s">
        <v>35</v>
      </c>
      <c r="C218" t="s">
        <v>22</v>
      </c>
      <c r="D218">
        <v>7</v>
      </c>
      <c r="E218">
        <v>24436</v>
      </c>
      <c r="F218">
        <v>15868</v>
      </c>
      <c r="G218" t="s">
        <v>10</v>
      </c>
      <c r="H218" t="str">
        <f>TEXT(CleanData[[#This Row],[Date]],"mmm")</f>
        <v>Jan</v>
      </c>
      <c r="I218">
        <f>WEEKNUM(CleanData[[#This Row],[Date]])</f>
        <v>2</v>
      </c>
      <c r="J218">
        <f>IF(CleanData[[#This Row],[Revenue]]&gt;=CleanData[[#This Row],[Target]],1,0)</f>
        <v>1</v>
      </c>
      <c r="K218">
        <f>IF(CleanData[[#This Row],[Attendance_Status]]="Present",1,0)</f>
        <v>1</v>
      </c>
    </row>
    <row r="219" spans="1:11" x14ac:dyDescent="0.3">
      <c r="A219" t="s">
        <v>84</v>
      </c>
      <c r="B219" t="s">
        <v>17</v>
      </c>
      <c r="C219" t="s">
        <v>9</v>
      </c>
      <c r="D219">
        <v>24</v>
      </c>
      <c r="E219">
        <v>24143</v>
      </c>
      <c r="F219">
        <v>22753</v>
      </c>
      <c r="G219" t="s">
        <v>10</v>
      </c>
      <c r="H219" t="str">
        <f>TEXT(CleanData[[#This Row],[Date]],"mmm")</f>
        <v>May</v>
      </c>
      <c r="I219">
        <f>WEEKNUM(CleanData[[#This Row],[Date]])</f>
        <v>19</v>
      </c>
      <c r="J219">
        <f>IF(CleanData[[#This Row],[Revenue]]&gt;=CleanData[[#This Row],[Target]],1,0)</f>
        <v>1</v>
      </c>
      <c r="K219">
        <f>IF(CleanData[[#This Row],[Attendance_Status]]="Present",1,0)</f>
        <v>1</v>
      </c>
    </row>
    <row r="220" spans="1:11" x14ac:dyDescent="0.3">
      <c r="A220" t="s">
        <v>165</v>
      </c>
      <c r="B220" t="s">
        <v>33</v>
      </c>
      <c r="C220" t="s">
        <v>22</v>
      </c>
      <c r="D220">
        <v>12</v>
      </c>
      <c r="E220">
        <v>8665</v>
      </c>
      <c r="F220">
        <v>13735</v>
      </c>
      <c r="G220" t="s">
        <v>10</v>
      </c>
      <c r="H220" t="str">
        <f>TEXT(CleanData[[#This Row],[Date]],"mmm")</f>
        <v>Feb</v>
      </c>
      <c r="I220">
        <f>WEEKNUM(CleanData[[#This Row],[Date]])</f>
        <v>9</v>
      </c>
      <c r="J220">
        <f>IF(CleanData[[#This Row],[Revenue]]&gt;=CleanData[[#This Row],[Target]],1,0)</f>
        <v>0</v>
      </c>
      <c r="K220">
        <f>IF(CleanData[[#This Row],[Attendance_Status]]="Present",1,0)</f>
        <v>1</v>
      </c>
    </row>
    <row r="221" spans="1:11" x14ac:dyDescent="0.3">
      <c r="A221" t="s">
        <v>38</v>
      </c>
      <c r="B221" t="s">
        <v>33</v>
      </c>
      <c r="C221" t="s">
        <v>9</v>
      </c>
      <c r="D221">
        <v>20</v>
      </c>
      <c r="E221">
        <v>26304</v>
      </c>
      <c r="F221">
        <v>22604</v>
      </c>
      <c r="G221" t="s">
        <v>10</v>
      </c>
      <c r="H221" t="str">
        <f>TEXT(CleanData[[#This Row],[Date]],"mmm")</f>
        <v>Jan</v>
      </c>
      <c r="I221">
        <f>WEEKNUM(CleanData[[#This Row],[Date]])</f>
        <v>3</v>
      </c>
      <c r="J221">
        <f>IF(CleanData[[#This Row],[Revenue]]&gt;=CleanData[[#This Row],[Target]],1,0)</f>
        <v>1</v>
      </c>
      <c r="K221">
        <f>IF(CleanData[[#This Row],[Attendance_Status]]="Present",1,0)</f>
        <v>1</v>
      </c>
    </row>
    <row r="222" spans="1:11" x14ac:dyDescent="0.3">
      <c r="A222" t="s">
        <v>166</v>
      </c>
      <c r="B222" t="s">
        <v>33</v>
      </c>
      <c r="C222" t="s">
        <v>9</v>
      </c>
      <c r="D222">
        <v>23</v>
      </c>
      <c r="E222">
        <v>25831</v>
      </c>
      <c r="F222">
        <v>13727</v>
      </c>
      <c r="G222" t="s">
        <v>10</v>
      </c>
      <c r="H222" t="str">
        <f>TEXT(CleanData[[#This Row],[Date]],"mmm")</f>
        <v>Jan</v>
      </c>
      <c r="I222">
        <f>WEEKNUM(CleanData[[#This Row],[Date]])</f>
        <v>2</v>
      </c>
      <c r="J222">
        <f>IF(CleanData[[#This Row],[Revenue]]&gt;=CleanData[[#This Row],[Target]],1,0)</f>
        <v>1</v>
      </c>
      <c r="K222">
        <f>IF(CleanData[[#This Row],[Attendance_Status]]="Present",1,0)</f>
        <v>1</v>
      </c>
    </row>
    <row r="223" spans="1:11" x14ac:dyDescent="0.3">
      <c r="A223" t="s">
        <v>104</v>
      </c>
      <c r="B223" t="s">
        <v>69</v>
      </c>
      <c r="C223" t="s">
        <v>9</v>
      </c>
      <c r="D223">
        <v>6</v>
      </c>
      <c r="E223">
        <v>27692</v>
      </c>
      <c r="F223">
        <v>19035</v>
      </c>
      <c r="G223" t="s">
        <v>10</v>
      </c>
      <c r="H223" t="str">
        <f>TEXT(CleanData[[#This Row],[Date]],"mmm")</f>
        <v>Apr</v>
      </c>
      <c r="I223">
        <f>WEEKNUM(CleanData[[#This Row],[Date]])</f>
        <v>16</v>
      </c>
      <c r="J223">
        <f>IF(CleanData[[#This Row],[Revenue]]&gt;=CleanData[[#This Row],[Target]],1,0)</f>
        <v>1</v>
      </c>
      <c r="K223">
        <f>IF(CleanData[[#This Row],[Attendance_Status]]="Present",1,0)</f>
        <v>1</v>
      </c>
    </row>
    <row r="224" spans="1:11" x14ac:dyDescent="0.3">
      <c r="A224" t="s">
        <v>143</v>
      </c>
      <c r="B224" t="s">
        <v>120</v>
      </c>
      <c r="C224" t="s">
        <v>9</v>
      </c>
      <c r="D224">
        <v>14</v>
      </c>
      <c r="E224">
        <v>29622</v>
      </c>
      <c r="F224">
        <v>13728</v>
      </c>
      <c r="G224" t="s">
        <v>10</v>
      </c>
      <c r="H224" t="str">
        <f>TEXT(CleanData[[#This Row],[Date]],"mmm")</f>
        <v>Jan</v>
      </c>
      <c r="I224">
        <f>WEEKNUM(CleanData[[#This Row],[Date]])</f>
        <v>2</v>
      </c>
      <c r="J224">
        <f>IF(CleanData[[#This Row],[Revenue]]&gt;=CleanData[[#This Row],[Target]],1,0)</f>
        <v>1</v>
      </c>
      <c r="K224">
        <f>IF(CleanData[[#This Row],[Attendance_Status]]="Present",1,0)</f>
        <v>1</v>
      </c>
    </row>
    <row r="225" spans="1:11" x14ac:dyDescent="0.3">
      <c r="A225" t="s">
        <v>143</v>
      </c>
      <c r="B225" t="s">
        <v>48</v>
      </c>
      <c r="C225" t="s">
        <v>13</v>
      </c>
      <c r="D225">
        <v>13</v>
      </c>
      <c r="E225">
        <v>5235</v>
      </c>
      <c r="F225">
        <v>12722</v>
      </c>
      <c r="G225" t="s">
        <v>10</v>
      </c>
      <c r="H225" t="str">
        <f>TEXT(CleanData[[#This Row],[Date]],"mmm")</f>
        <v>Jan</v>
      </c>
      <c r="I225">
        <f>WEEKNUM(CleanData[[#This Row],[Date]])</f>
        <v>2</v>
      </c>
      <c r="J225">
        <f>IF(CleanData[[#This Row],[Revenue]]&gt;=CleanData[[#This Row],[Target]],1,0)</f>
        <v>0</v>
      </c>
      <c r="K225">
        <f>IF(CleanData[[#This Row],[Attendance_Status]]="Present",1,0)</f>
        <v>1</v>
      </c>
    </row>
    <row r="226" spans="1:11" x14ac:dyDescent="0.3">
      <c r="A226" t="s">
        <v>91</v>
      </c>
      <c r="B226" t="s">
        <v>17</v>
      </c>
      <c r="C226" t="s">
        <v>22</v>
      </c>
      <c r="D226">
        <v>25</v>
      </c>
      <c r="E226">
        <v>10238</v>
      </c>
      <c r="F226">
        <v>13741</v>
      </c>
      <c r="G226" t="s">
        <v>10</v>
      </c>
      <c r="H226" t="str">
        <f>TEXT(CleanData[[#This Row],[Date]],"mmm")</f>
        <v>Jan</v>
      </c>
      <c r="I226">
        <f>WEEKNUM(CleanData[[#This Row],[Date]])</f>
        <v>4</v>
      </c>
      <c r="J226">
        <f>IF(CleanData[[#This Row],[Revenue]]&gt;=CleanData[[#This Row],[Target]],1,0)</f>
        <v>0</v>
      </c>
      <c r="K226">
        <f>IF(CleanData[[#This Row],[Attendance_Status]]="Present",1,0)</f>
        <v>1</v>
      </c>
    </row>
    <row r="227" spans="1:11" x14ac:dyDescent="0.3">
      <c r="A227" t="s">
        <v>167</v>
      </c>
      <c r="B227" t="s">
        <v>17</v>
      </c>
      <c r="C227" t="s">
        <v>9</v>
      </c>
      <c r="D227">
        <v>23</v>
      </c>
      <c r="E227">
        <v>23805</v>
      </c>
      <c r="F227">
        <v>20726</v>
      </c>
      <c r="G227" t="s">
        <v>10</v>
      </c>
      <c r="H227" t="str">
        <f>TEXT(CleanData[[#This Row],[Date]],"mmm")</f>
        <v>May</v>
      </c>
      <c r="I227">
        <f>WEEKNUM(CleanData[[#This Row],[Date]])</f>
        <v>19</v>
      </c>
      <c r="J227">
        <f>IF(CleanData[[#This Row],[Revenue]]&gt;=CleanData[[#This Row],[Target]],1,0)</f>
        <v>1</v>
      </c>
      <c r="K227">
        <f>IF(CleanData[[#This Row],[Attendance_Status]]="Present",1,0)</f>
        <v>1</v>
      </c>
    </row>
    <row r="228" spans="1:11" x14ac:dyDescent="0.3">
      <c r="A228" t="s">
        <v>168</v>
      </c>
      <c r="B228" t="s">
        <v>69</v>
      </c>
      <c r="C228" t="s">
        <v>9</v>
      </c>
      <c r="D228">
        <v>16</v>
      </c>
      <c r="E228">
        <v>14343</v>
      </c>
      <c r="F228">
        <v>16361</v>
      </c>
      <c r="G228" t="s">
        <v>10</v>
      </c>
      <c r="H228" t="str">
        <f>TEXT(CleanData[[#This Row],[Date]],"mmm")</f>
        <v>Mar</v>
      </c>
      <c r="I228">
        <f>WEEKNUM(CleanData[[#This Row],[Date]])</f>
        <v>13</v>
      </c>
      <c r="J228">
        <f>IF(CleanData[[#This Row],[Revenue]]&gt;=CleanData[[#This Row],[Target]],1,0)</f>
        <v>0</v>
      </c>
      <c r="K228">
        <f>IF(CleanData[[#This Row],[Attendance_Status]]="Present",1,0)</f>
        <v>1</v>
      </c>
    </row>
    <row r="229" spans="1:11" x14ac:dyDescent="0.3">
      <c r="A229" t="s">
        <v>169</v>
      </c>
      <c r="B229" t="s">
        <v>101</v>
      </c>
      <c r="C229" t="s">
        <v>9</v>
      </c>
      <c r="D229">
        <v>18</v>
      </c>
      <c r="E229">
        <v>5878</v>
      </c>
      <c r="F229">
        <v>23968</v>
      </c>
      <c r="G229" t="s">
        <v>10</v>
      </c>
      <c r="H229" t="str">
        <f>TEXT(CleanData[[#This Row],[Date]],"mmm")</f>
        <v>Jan</v>
      </c>
      <c r="I229">
        <f>WEEKNUM(CleanData[[#This Row],[Date]])</f>
        <v>2</v>
      </c>
      <c r="J229">
        <f>IF(CleanData[[#This Row],[Revenue]]&gt;=CleanData[[#This Row],[Target]],1,0)</f>
        <v>0</v>
      </c>
      <c r="K229">
        <f>IF(CleanData[[#This Row],[Attendance_Status]]="Present",1,0)</f>
        <v>1</v>
      </c>
    </row>
    <row r="230" spans="1:11" x14ac:dyDescent="0.3">
      <c r="A230" t="s">
        <v>83</v>
      </c>
      <c r="B230" t="s">
        <v>25</v>
      </c>
      <c r="C230" t="s">
        <v>13</v>
      </c>
      <c r="D230">
        <v>22</v>
      </c>
      <c r="E230">
        <v>25983</v>
      </c>
      <c r="F230">
        <v>10369</v>
      </c>
      <c r="G230" t="s">
        <v>10</v>
      </c>
      <c r="H230" t="str">
        <f>TEXT(CleanData[[#This Row],[Date]],"mmm")</f>
        <v>Mar</v>
      </c>
      <c r="I230">
        <f>WEEKNUM(CleanData[[#This Row],[Date]])</f>
        <v>10</v>
      </c>
      <c r="J230">
        <f>IF(CleanData[[#This Row],[Revenue]]&gt;=CleanData[[#This Row],[Target]],1,0)</f>
        <v>1</v>
      </c>
      <c r="K230">
        <f>IF(CleanData[[#This Row],[Attendance_Status]]="Present",1,0)</f>
        <v>1</v>
      </c>
    </row>
    <row r="231" spans="1:11" x14ac:dyDescent="0.3">
      <c r="A231" t="s">
        <v>71</v>
      </c>
      <c r="B231" t="s">
        <v>35</v>
      </c>
      <c r="C231" t="s">
        <v>22</v>
      </c>
      <c r="D231">
        <v>25</v>
      </c>
      <c r="E231">
        <v>9793</v>
      </c>
      <c r="F231">
        <v>18013</v>
      </c>
      <c r="G231" t="s">
        <v>10</v>
      </c>
      <c r="H231" t="str">
        <f>TEXT(CleanData[[#This Row],[Date]],"mmm")</f>
        <v>Apr</v>
      </c>
      <c r="I231">
        <f>WEEKNUM(CleanData[[#This Row],[Date]])</f>
        <v>14</v>
      </c>
      <c r="J231">
        <f>IF(CleanData[[#This Row],[Revenue]]&gt;=CleanData[[#This Row],[Target]],1,0)</f>
        <v>0</v>
      </c>
      <c r="K231">
        <f>IF(CleanData[[#This Row],[Attendance_Status]]="Present",1,0)</f>
        <v>1</v>
      </c>
    </row>
    <row r="232" spans="1:11" x14ac:dyDescent="0.3">
      <c r="A232" t="s">
        <v>170</v>
      </c>
      <c r="B232" t="s">
        <v>15</v>
      </c>
      <c r="C232" t="s">
        <v>13</v>
      </c>
      <c r="D232">
        <v>23</v>
      </c>
      <c r="E232">
        <v>7742</v>
      </c>
      <c r="F232">
        <v>24772</v>
      </c>
      <c r="G232" t="s">
        <v>10</v>
      </c>
      <c r="H232" t="str">
        <f>TEXT(CleanData[[#This Row],[Date]],"mmm")</f>
        <v>Apr</v>
      </c>
      <c r="I232">
        <f>WEEKNUM(CleanData[[#This Row],[Date]])</f>
        <v>16</v>
      </c>
      <c r="J232">
        <f>IF(CleanData[[#This Row],[Revenue]]&gt;=CleanData[[#This Row],[Target]],1,0)</f>
        <v>0</v>
      </c>
      <c r="K232">
        <f>IF(CleanData[[#This Row],[Attendance_Status]]="Present",1,0)</f>
        <v>1</v>
      </c>
    </row>
    <row r="233" spans="1:11" x14ac:dyDescent="0.3">
      <c r="A233" t="s">
        <v>171</v>
      </c>
      <c r="B233" t="s">
        <v>29</v>
      </c>
      <c r="C233" t="s">
        <v>13</v>
      </c>
      <c r="D233">
        <v>14</v>
      </c>
      <c r="E233">
        <v>29427</v>
      </c>
      <c r="F233">
        <v>19862</v>
      </c>
      <c r="G233" t="s">
        <v>10</v>
      </c>
      <c r="H233" t="str">
        <f>TEXT(CleanData[[#This Row],[Date]],"mmm")</f>
        <v>Jan</v>
      </c>
      <c r="I233">
        <f>WEEKNUM(CleanData[[#This Row],[Date]])</f>
        <v>4</v>
      </c>
      <c r="J233">
        <f>IF(CleanData[[#This Row],[Revenue]]&gt;=CleanData[[#This Row],[Target]],1,0)</f>
        <v>1</v>
      </c>
      <c r="K233">
        <f>IF(CleanData[[#This Row],[Attendance_Status]]="Present",1,0)</f>
        <v>1</v>
      </c>
    </row>
    <row r="234" spans="1:11" x14ac:dyDescent="0.3">
      <c r="A234" t="s">
        <v>172</v>
      </c>
      <c r="B234" t="s">
        <v>15</v>
      </c>
      <c r="C234" t="s">
        <v>22</v>
      </c>
      <c r="D234">
        <v>5</v>
      </c>
      <c r="E234">
        <v>20775</v>
      </c>
      <c r="F234">
        <v>13710</v>
      </c>
      <c r="G234" t="s">
        <v>10</v>
      </c>
      <c r="H234" t="str">
        <f>TEXT(CleanData[[#This Row],[Date]],"mmm")</f>
        <v>May</v>
      </c>
      <c r="I234">
        <f>WEEKNUM(CleanData[[#This Row],[Date]])</f>
        <v>21</v>
      </c>
      <c r="J234">
        <f>IF(CleanData[[#This Row],[Revenue]]&gt;=CleanData[[#This Row],[Target]],1,0)</f>
        <v>1</v>
      </c>
      <c r="K234">
        <f>IF(CleanData[[#This Row],[Attendance_Status]]="Present",1,0)</f>
        <v>1</v>
      </c>
    </row>
    <row r="235" spans="1:11" x14ac:dyDescent="0.3">
      <c r="A235" t="s">
        <v>30</v>
      </c>
      <c r="B235" t="s">
        <v>8</v>
      </c>
      <c r="C235" t="s">
        <v>13</v>
      </c>
      <c r="D235">
        <v>19</v>
      </c>
      <c r="E235">
        <v>22690</v>
      </c>
      <c r="F235">
        <v>19627</v>
      </c>
      <c r="G235" t="s">
        <v>10</v>
      </c>
      <c r="H235" t="str">
        <f>TEXT(CleanData[[#This Row],[Date]],"mmm")</f>
        <v>Mar</v>
      </c>
      <c r="I235">
        <f>WEEKNUM(CleanData[[#This Row],[Date]])</f>
        <v>11</v>
      </c>
      <c r="J235">
        <f>IF(CleanData[[#This Row],[Revenue]]&gt;=CleanData[[#This Row],[Target]],1,0)</f>
        <v>1</v>
      </c>
      <c r="K235">
        <f>IF(CleanData[[#This Row],[Attendance_Status]]="Present",1,0)</f>
        <v>1</v>
      </c>
    </row>
    <row r="236" spans="1:11" x14ac:dyDescent="0.3">
      <c r="A236" t="s">
        <v>113</v>
      </c>
      <c r="B236" t="s">
        <v>33</v>
      </c>
      <c r="C236" t="s">
        <v>13</v>
      </c>
      <c r="D236">
        <v>22</v>
      </c>
      <c r="E236">
        <v>24183</v>
      </c>
      <c r="F236">
        <v>22954</v>
      </c>
      <c r="G236" t="s">
        <v>10</v>
      </c>
      <c r="H236" t="str">
        <f>TEXT(CleanData[[#This Row],[Date]],"mmm")</f>
        <v>Mar</v>
      </c>
      <c r="I236">
        <f>WEEKNUM(CleanData[[#This Row],[Date]])</f>
        <v>14</v>
      </c>
      <c r="J236">
        <f>IF(CleanData[[#This Row],[Revenue]]&gt;=CleanData[[#This Row],[Target]],1,0)</f>
        <v>1</v>
      </c>
      <c r="K236">
        <f>IF(CleanData[[#This Row],[Attendance_Status]]="Present",1,0)</f>
        <v>1</v>
      </c>
    </row>
    <row r="237" spans="1:11" x14ac:dyDescent="0.3">
      <c r="A237" t="s">
        <v>173</v>
      </c>
      <c r="B237" t="s">
        <v>64</v>
      </c>
      <c r="C237" t="s">
        <v>9</v>
      </c>
      <c r="D237">
        <v>14</v>
      </c>
      <c r="E237">
        <v>19615</v>
      </c>
      <c r="F237">
        <v>14396</v>
      </c>
      <c r="G237" t="s">
        <v>10</v>
      </c>
      <c r="H237" t="str">
        <f>TEXT(CleanData[[#This Row],[Date]],"mmm")</f>
        <v>Jun</v>
      </c>
      <c r="I237">
        <f>WEEKNUM(CleanData[[#This Row],[Date]])</f>
        <v>23</v>
      </c>
      <c r="J237">
        <f>IF(CleanData[[#This Row],[Revenue]]&gt;=CleanData[[#This Row],[Target]],1,0)</f>
        <v>1</v>
      </c>
      <c r="K237">
        <f>IF(CleanData[[#This Row],[Attendance_Status]]="Present",1,0)</f>
        <v>1</v>
      </c>
    </row>
    <row r="238" spans="1:11" x14ac:dyDescent="0.3">
      <c r="A238" t="s">
        <v>134</v>
      </c>
      <c r="B238" t="s">
        <v>64</v>
      </c>
      <c r="C238" t="s">
        <v>13</v>
      </c>
      <c r="D238">
        <v>6</v>
      </c>
      <c r="E238">
        <v>21451</v>
      </c>
      <c r="F238">
        <v>12821</v>
      </c>
      <c r="G238" t="s">
        <v>10</v>
      </c>
      <c r="H238" t="str">
        <f>TEXT(CleanData[[#This Row],[Date]],"mmm")</f>
        <v>Feb</v>
      </c>
      <c r="I238">
        <f>WEEKNUM(CleanData[[#This Row],[Date]])</f>
        <v>6</v>
      </c>
      <c r="J238">
        <f>IF(CleanData[[#This Row],[Revenue]]&gt;=CleanData[[#This Row],[Target]],1,0)</f>
        <v>1</v>
      </c>
      <c r="K238">
        <f>IF(CleanData[[#This Row],[Attendance_Status]]="Present",1,0)</f>
        <v>1</v>
      </c>
    </row>
    <row r="239" spans="1:11" x14ac:dyDescent="0.3">
      <c r="A239" t="s">
        <v>138</v>
      </c>
      <c r="B239" t="s">
        <v>64</v>
      </c>
      <c r="C239" t="s">
        <v>22</v>
      </c>
      <c r="D239">
        <v>21</v>
      </c>
      <c r="E239">
        <v>5121</v>
      </c>
      <c r="F239">
        <v>10566</v>
      </c>
      <c r="G239" t="s">
        <v>10</v>
      </c>
      <c r="H239" t="str">
        <f>TEXT(CleanData[[#This Row],[Date]],"mmm")</f>
        <v>Apr</v>
      </c>
      <c r="I239">
        <f>WEEKNUM(CleanData[[#This Row],[Date]])</f>
        <v>14</v>
      </c>
      <c r="J239">
        <f>IF(CleanData[[#This Row],[Revenue]]&gt;=CleanData[[#This Row],[Target]],1,0)</f>
        <v>0</v>
      </c>
      <c r="K239">
        <f>IF(CleanData[[#This Row],[Attendance_Status]]="Present",1,0)</f>
        <v>1</v>
      </c>
    </row>
    <row r="240" spans="1:11" x14ac:dyDescent="0.3">
      <c r="A240" t="s">
        <v>36</v>
      </c>
      <c r="B240" t="s">
        <v>64</v>
      </c>
      <c r="C240" t="s">
        <v>22</v>
      </c>
      <c r="D240">
        <v>8</v>
      </c>
      <c r="E240">
        <v>13443</v>
      </c>
      <c r="F240">
        <v>18909</v>
      </c>
      <c r="G240" t="s">
        <v>10</v>
      </c>
      <c r="H240" t="str">
        <f>TEXT(CleanData[[#This Row],[Date]],"mmm")</f>
        <v>May</v>
      </c>
      <c r="I240">
        <f>WEEKNUM(CleanData[[#This Row],[Date]])</f>
        <v>22</v>
      </c>
      <c r="J240">
        <f>IF(CleanData[[#This Row],[Revenue]]&gt;=CleanData[[#This Row],[Target]],1,0)</f>
        <v>0</v>
      </c>
      <c r="K240">
        <f>IF(CleanData[[#This Row],[Attendance_Status]]="Present",1,0)</f>
        <v>1</v>
      </c>
    </row>
    <row r="241" spans="1:11" x14ac:dyDescent="0.3">
      <c r="A241" t="s">
        <v>174</v>
      </c>
      <c r="B241" t="s">
        <v>69</v>
      </c>
      <c r="C241" t="s">
        <v>9</v>
      </c>
      <c r="D241">
        <v>21</v>
      </c>
      <c r="E241">
        <v>13857</v>
      </c>
      <c r="F241">
        <v>16089</v>
      </c>
      <c r="G241" t="s">
        <v>10</v>
      </c>
      <c r="H241" t="str">
        <f>TEXT(CleanData[[#This Row],[Date]],"mmm")</f>
        <v>Mar</v>
      </c>
      <c r="I241">
        <f>WEEKNUM(CleanData[[#This Row],[Date]])</f>
        <v>9</v>
      </c>
      <c r="J241">
        <f>IF(CleanData[[#This Row],[Revenue]]&gt;=CleanData[[#This Row],[Target]],1,0)</f>
        <v>0</v>
      </c>
      <c r="K241">
        <f>IF(CleanData[[#This Row],[Attendance_Status]]="Present",1,0)</f>
        <v>1</v>
      </c>
    </row>
    <row r="242" spans="1:11" x14ac:dyDescent="0.3">
      <c r="A242" t="s">
        <v>175</v>
      </c>
      <c r="B242" t="s">
        <v>52</v>
      </c>
      <c r="C242" t="s">
        <v>9</v>
      </c>
      <c r="D242">
        <v>22</v>
      </c>
      <c r="E242">
        <v>19504</v>
      </c>
      <c r="F242">
        <v>12390</v>
      </c>
      <c r="G242" t="s">
        <v>10</v>
      </c>
      <c r="H242" t="str">
        <f>TEXT(CleanData[[#This Row],[Date]],"mmm")</f>
        <v>May</v>
      </c>
      <c r="I242">
        <f>WEEKNUM(CleanData[[#This Row],[Date]])</f>
        <v>22</v>
      </c>
      <c r="J242">
        <f>IF(CleanData[[#This Row],[Revenue]]&gt;=CleanData[[#This Row],[Target]],1,0)</f>
        <v>1</v>
      </c>
      <c r="K242">
        <f>IF(CleanData[[#This Row],[Attendance_Status]]="Present",1,0)</f>
        <v>1</v>
      </c>
    </row>
    <row r="243" spans="1:11" x14ac:dyDescent="0.3">
      <c r="A243" t="s">
        <v>109</v>
      </c>
      <c r="B243" t="s">
        <v>17</v>
      </c>
      <c r="C243" t="s">
        <v>13</v>
      </c>
      <c r="D243">
        <v>21</v>
      </c>
      <c r="E243">
        <v>10092</v>
      </c>
      <c r="F243">
        <v>11086</v>
      </c>
      <c r="G243" t="s">
        <v>10</v>
      </c>
      <c r="H243" t="str">
        <f>TEXT(CleanData[[#This Row],[Date]],"mmm")</f>
        <v>Mar</v>
      </c>
      <c r="I243">
        <f>WEEKNUM(CleanData[[#This Row],[Date]])</f>
        <v>10</v>
      </c>
      <c r="J243">
        <f>IF(CleanData[[#This Row],[Revenue]]&gt;=CleanData[[#This Row],[Target]],1,0)</f>
        <v>0</v>
      </c>
      <c r="K243">
        <f>IF(CleanData[[#This Row],[Attendance_Status]]="Present",1,0)</f>
        <v>1</v>
      </c>
    </row>
    <row r="244" spans="1:11" x14ac:dyDescent="0.3">
      <c r="A244" t="s">
        <v>11</v>
      </c>
      <c r="B244" t="s">
        <v>33</v>
      </c>
      <c r="C244" t="s">
        <v>22</v>
      </c>
      <c r="D244">
        <v>22</v>
      </c>
      <c r="E244">
        <v>11355</v>
      </c>
      <c r="F244">
        <v>22741</v>
      </c>
      <c r="G244" t="s">
        <v>10</v>
      </c>
      <c r="H244" t="str">
        <f>TEXT(CleanData[[#This Row],[Date]],"mmm")</f>
        <v>Jun</v>
      </c>
      <c r="I244">
        <f>WEEKNUM(CleanData[[#This Row],[Date]])</f>
        <v>23</v>
      </c>
      <c r="J244">
        <f>IF(CleanData[[#This Row],[Revenue]]&gt;=CleanData[[#This Row],[Target]],1,0)</f>
        <v>0</v>
      </c>
      <c r="K244">
        <f>IF(CleanData[[#This Row],[Attendance_Status]]="Present",1,0)</f>
        <v>1</v>
      </c>
    </row>
    <row r="245" spans="1:11" x14ac:dyDescent="0.3">
      <c r="A245" t="s">
        <v>176</v>
      </c>
      <c r="B245" t="s">
        <v>17</v>
      </c>
      <c r="C245" t="s">
        <v>22</v>
      </c>
      <c r="D245">
        <v>25</v>
      </c>
      <c r="E245">
        <v>9945</v>
      </c>
      <c r="F245">
        <v>15476</v>
      </c>
      <c r="G245" t="s">
        <v>10</v>
      </c>
      <c r="H245" t="str">
        <f>TEXT(CleanData[[#This Row],[Date]],"mmm")</f>
        <v>Mar</v>
      </c>
      <c r="I245">
        <f>WEEKNUM(CleanData[[#This Row],[Date]])</f>
        <v>13</v>
      </c>
      <c r="J245">
        <f>IF(CleanData[[#This Row],[Revenue]]&gt;=CleanData[[#This Row],[Target]],1,0)</f>
        <v>0</v>
      </c>
      <c r="K245">
        <f>IF(CleanData[[#This Row],[Attendance_Status]]="Present",1,0)</f>
        <v>1</v>
      </c>
    </row>
    <row r="246" spans="1:11" x14ac:dyDescent="0.3">
      <c r="A246" t="s">
        <v>177</v>
      </c>
      <c r="B246" t="s">
        <v>21</v>
      </c>
      <c r="C246" t="s">
        <v>9</v>
      </c>
      <c r="D246">
        <v>15</v>
      </c>
      <c r="E246">
        <v>23399</v>
      </c>
      <c r="F246">
        <v>18704</v>
      </c>
      <c r="G246" t="s">
        <v>10</v>
      </c>
      <c r="H246" t="str">
        <f>TEXT(CleanData[[#This Row],[Date]],"mmm")</f>
        <v>Mar</v>
      </c>
      <c r="I246">
        <f>WEEKNUM(CleanData[[#This Row],[Date]])</f>
        <v>13</v>
      </c>
      <c r="J246">
        <f>IF(CleanData[[#This Row],[Revenue]]&gt;=CleanData[[#This Row],[Target]],1,0)</f>
        <v>1</v>
      </c>
      <c r="K246">
        <f>IF(CleanData[[#This Row],[Attendance_Status]]="Present",1,0)</f>
        <v>1</v>
      </c>
    </row>
    <row r="247" spans="1:11" x14ac:dyDescent="0.3">
      <c r="A247" t="s">
        <v>178</v>
      </c>
      <c r="B247" t="s">
        <v>79</v>
      </c>
      <c r="C247" t="s">
        <v>9</v>
      </c>
      <c r="D247">
        <v>6</v>
      </c>
      <c r="E247">
        <v>13822</v>
      </c>
      <c r="F247">
        <v>10888</v>
      </c>
      <c r="G247" t="s">
        <v>10</v>
      </c>
      <c r="H247" t="str">
        <f>TEXT(CleanData[[#This Row],[Date]],"mmm")</f>
        <v>Feb</v>
      </c>
      <c r="I247">
        <f>WEEKNUM(CleanData[[#This Row],[Date]])</f>
        <v>9</v>
      </c>
      <c r="J247">
        <f>IF(CleanData[[#This Row],[Revenue]]&gt;=CleanData[[#This Row],[Target]],1,0)</f>
        <v>1</v>
      </c>
      <c r="K247">
        <f>IF(CleanData[[#This Row],[Attendance_Status]]="Present",1,0)</f>
        <v>1</v>
      </c>
    </row>
    <row r="248" spans="1:11" x14ac:dyDescent="0.3">
      <c r="A248" t="s">
        <v>36</v>
      </c>
      <c r="B248" t="s">
        <v>33</v>
      </c>
      <c r="C248" t="s">
        <v>22</v>
      </c>
      <c r="D248">
        <v>22</v>
      </c>
      <c r="E248">
        <v>20607</v>
      </c>
      <c r="F248">
        <v>10355</v>
      </c>
      <c r="G248" t="s">
        <v>10</v>
      </c>
      <c r="H248" t="str">
        <f>TEXT(CleanData[[#This Row],[Date]],"mmm")</f>
        <v>May</v>
      </c>
      <c r="I248">
        <f>WEEKNUM(CleanData[[#This Row],[Date]])</f>
        <v>22</v>
      </c>
      <c r="J248">
        <f>IF(CleanData[[#This Row],[Revenue]]&gt;=CleanData[[#This Row],[Target]],1,0)</f>
        <v>1</v>
      </c>
      <c r="K248">
        <f>IF(CleanData[[#This Row],[Attendance_Status]]="Present",1,0)</f>
        <v>1</v>
      </c>
    </row>
    <row r="249" spans="1:11" x14ac:dyDescent="0.3">
      <c r="A249" t="s">
        <v>177</v>
      </c>
      <c r="B249" t="s">
        <v>35</v>
      </c>
      <c r="C249" t="s">
        <v>22</v>
      </c>
      <c r="D249">
        <v>13</v>
      </c>
      <c r="E249">
        <v>25999</v>
      </c>
      <c r="F249">
        <v>18847</v>
      </c>
      <c r="G249" t="s">
        <v>10</v>
      </c>
      <c r="H249" t="str">
        <f>TEXT(CleanData[[#This Row],[Date]],"mmm")</f>
        <v>Mar</v>
      </c>
      <c r="I249">
        <f>WEEKNUM(CleanData[[#This Row],[Date]])</f>
        <v>13</v>
      </c>
      <c r="J249">
        <f>IF(CleanData[[#This Row],[Revenue]]&gt;=CleanData[[#This Row],[Target]],1,0)</f>
        <v>1</v>
      </c>
      <c r="K249">
        <f>IF(CleanData[[#This Row],[Attendance_Status]]="Present",1,0)</f>
        <v>1</v>
      </c>
    </row>
    <row r="250" spans="1:11" x14ac:dyDescent="0.3">
      <c r="A250" t="s">
        <v>117</v>
      </c>
      <c r="B250" t="s">
        <v>50</v>
      </c>
      <c r="C250" t="s">
        <v>22</v>
      </c>
      <c r="D250">
        <v>15</v>
      </c>
      <c r="E250">
        <v>13744</v>
      </c>
      <c r="F250">
        <v>14452</v>
      </c>
      <c r="G250" t="s">
        <v>10</v>
      </c>
      <c r="H250" t="str">
        <f>TEXT(CleanData[[#This Row],[Date]],"mmm")</f>
        <v>Jan</v>
      </c>
      <c r="I250">
        <f>WEEKNUM(CleanData[[#This Row],[Date]])</f>
        <v>5</v>
      </c>
      <c r="J250">
        <f>IF(CleanData[[#This Row],[Revenue]]&gt;=CleanData[[#This Row],[Target]],1,0)</f>
        <v>0</v>
      </c>
      <c r="K250">
        <f>IF(CleanData[[#This Row],[Attendance_Status]]="Present",1,0)</f>
        <v>1</v>
      </c>
    </row>
    <row r="251" spans="1:11" x14ac:dyDescent="0.3">
      <c r="A251" t="s">
        <v>59</v>
      </c>
      <c r="B251" t="s">
        <v>56</v>
      </c>
      <c r="C251" t="s">
        <v>13</v>
      </c>
      <c r="D251">
        <v>20</v>
      </c>
      <c r="E251">
        <v>5685</v>
      </c>
      <c r="F251">
        <v>14560</v>
      </c>
      <c r="G251" t="s">
        <v>10</v>
      </c>
      <c r="H251" t="str">
        <f>TEXT(CleanData[[#This Row],[Date]],"mmm")</f>
        <v>Mar</v>
      </c>
      <c r="I251">
        <f>WEEKNUM(CleanData[[#This Row],[Date]])</f>
        <v>12</v>
      </c>
      <c r="J251">
        <f>IF(CleanData[[#This Row],[Revenue]]&gt;=CleanData[[#This Row],[Target]],1,0)</f>
        <v>0</v>
      </c>
      <c r="K251">
        <f>IF(CleanData[[#This Row],[Attendance_Status]]="Present",1,0)</f>
        <v>1</v>
      </c>
    </row>
    <row r="252" spans="1:11" x14ac:dyDescent="0.3">
      <c r="A252" t="s">
        <v>113</v>
      </c>
      <c r="B252" t="s">
        <v>92</v>
      </c>
      <c r="C252" t="s">
        <v>9</v>
      </c>
      <c r="D252">
        <v>12</v>
      </c>
      <c r="E252">
        <v>11902</v>
      </c>
      <c r="F252">
        <v>14718</v>
      </c>
      <c r="G252" t="s">
        <v>10</v>
      </c>
      <c r="H252" t="str">
        <f>TEXT(CleanData[[#This Row],[Date]],"mmm")</f>
        <v>Mar</v>
      </c>
      <c r="I252">
        <f>WEEKNUM(CleanData[[#This Row],[Date]])</f>
        <v>14</v>
      </c>
      <c r="J252">
        <f>IF(CleanData[[#This Row],[Revenue]]&gt;=CleanData[[#This Row],[Target]],1,0)</f>
        <v>0</v>
      </c>
      <c r="K252">
        <f>IF(CleanData[[#This Row],[Attendance_Status]]="Present",1,0)</f>
        <v>1</v>
      </c>
    </row>
    <row r="253" spans="1:11" x14ac:dyDescent="0.3">
      <c r="A253" t="s">
        <v>51</v>
      </c>
      <c r="B253" t="s">
        <v>40</v>
      </c>
      <c r="C253" t="s">
        <v>13</v>
      </c>
      <c r="D253">
        <v>7</v>
      </c>
      <c r="E253">
        <v>13361</v>
      </c>
      <c r="F253">
        <v>24697</v>
      </c>
      <c r="G253" t="s">
        <v>26</v>
      </c>
      <c r="H253" t="str">
        <f>TEXT(CleanData[[#This Row],[Date]],"mmm")</f>
        <v>Apr</v>
      </c>
      <c r="I253">
        <f>WEEKNUM(CleanData[[#This Row],[Date]])</f>
        <v>16</v>
      </c>
      <c r="J253">
        <f>IF(CleanData[[#This Row],[Revenue]]&gt;=CleanData[[#This Row],[Target]],1,0)</f>
        <v>0</v>
      </c>
      <c r="K253">
        <f>IF(CleanData[[#This Row],[Attendance_Status]]="Present",1,0)</f>
        <v>0</v>
      </c>
    </row>
    <row r="254" spans="1:11" x14ac:dyDescent="0.3">
      <c r="A254" t="s">
        <v>57</v>
      </c>
      <c r="B254" t="s">
        <v>25</v>
      </c>
      <c r="C254" t="s">
        <v>22</v>
      </c>
      <c r="D254">
        <v>16</v>
      </c>
      <c r="E254">
        <v>25893</v>
      </c>
      <c r="F254">
        <v>23880</v>
      </c>
      <c r="G254" t="s">
        <v>26</v>
      </c>
      <c r="H254" t="str">
        <f>TEXT(CleanData[[#This Row],[Date]],"mmm")</f>
        <v>Jun</v>
      </c>
      <c r="I254">
        <f>WEEKNUM(CleanData[[#This Row],[Date]])</f>
        <v>25</v>
      </c>
      <c r="J254">
        <f>IF(CleanData[[#This Row],[Revenue]]&gt;=CleanData[[#This Row],[Target]],1,0)</f>
        <v>1</v>
      </c>
      <c r="K254">
        <f>IF(CleanData[[#This Row],[Attendance_Status]]="Present",1,0)</f>
        <v>0</v>
      </c>
    </row>
    <row r="255" spans="1:11" x14ac:dyDescent="0.3">
      <c r="A255" t="s">
        <v>179</v>
      </c>
      <c r="B255" t="s">
        <v>33</v>
      </c>
      <c r="C255" t="s">
        <v>9</v>
      </c>
      <c r="D255">
        <v>12</v>
      </c>
      <c r="E255">
        <v>12970</v>
      </c>
      <c r="F255">
        <v>18194</v>
      </c>
      <c r="G255" t="s">
        <v>26</v>
      </c>
      <c r="H255" t="str">
        <f>TEXT(CleanData[[#This Row],[Date]],"mmm")</f>
        <v>Mar</v>
      </c>
      <c r="I255">
        <f>WEEKNUM(CleanData[[#This Row],[Date]])</f>
        <v>12</v>
      </c>
      <c r="J255">
        <f>IF(CleanData[[#This Row],[Revenue]]&gt;=CleanData[[#This Row],[Target]],1,0)</f>
        <v>0</v>
      </c>
      <c r="K255">
        <f>IF(CleanData[[#This Row],[Attendance_Status]]="Present",1,0)</f>
        <v>0</v>
      </c>
    </row>
    <row r="256" spans="1:11" x14ac:dyDescent="0.3">
      <c r="A256" t="s">
        <v>180</v>
      </c>
      <c r="B256" t="s">
        <v>73</v>
      </c>
      <c r="C256" t="s">
        <v>22</v>
      </c>
      <c r="D256">
        <v>5</v>
      </c>
      <c r="E256">
        <v>17095</v>
      </c>
      <c r="F256">
        <v>13096</v>
      </c>
      <c r="G256" t="s">
        <v>10</v>
      </c>
      <c r="H256" t="str">
        <f>TEXT(CleanData[[#This Row],[Date]],"mmm")</f>
        <v>Jan</v>
      </c>
      <c r="I256">
        <f>WEEKNUM(CleanData[[#This Row],[Date]])</f>
        <v>2</v>
      </c>
      <c r="J256">
        <f>IF(CleanData[[#This Row],[Revenue]]&gt;=CleanData[[#This Row],[Target]],1,0)</f>
        <v>1</v>
      </c>
      <c r="K256">
        <f>IF(CleanData[[#This Row],[Attendance_Status]]="Present",1,0)</f>
        <v>1</v>
      </c>
    </row>
    <row r="257" spans="1:11" x14ac:dyDescent="0.3">
      <c r="A257" t="s">
        <v>181</v>
      </c>
      <c r="B257" t="s">
        <v>17</v>
      </c>
      <c r="C257" t="s">
        <v>9</v>
      </c>
      <c r="D257">
        <v>25</v>
      </c>
      <c r="E257">
        <v>13543</v>
      </c>
      <c r="F257">
        <v>17470</v>
      </c>
      <c r="G257" t="s">
        <v>10</v>
      </c>
      <c r="H257" t="str">
        <f>TEXT(CleanData[[#This Row],[Date]],"mmm")</f>
        <v>May</v>
      </c>
      <c r="I257">
        <f>WEEKNUM(CleanData[[#This Row],[Date]])</f>
        <v>19</v>
      </c>
      <c r="J257">
        <f>IF(CleanData[[#This Row],[Revenue]]&gt;=CleanData[[#This Row],[Target]],1,0)</f>
        <v>0</v>
      </c>
      <c r="K257">
        <f>IF(CleanData[[#This Row],[Attendance_Status]]="Present",1,0)</f>
        <v>1</v>
      </c>
    </row>
    <row r="258" spans="1:11" x14ac:dyDescent="0.3">
      <c r="A258" t="s">
        <v>159</v>
      </c>
      <c r="B258" t="s">
        <v>92</v>
      </c>
      <c r="C258" t="s">
        <v>13</v>
      </c>
      <c r="D258">
        <v>23</v>
      </c>
      <c r="E258">
        <v>21401</v>
      </c>
      <c r="F258">
        <v>20133</v>
      </c>
      <c r="G258" t="s">
        <v>10</v>
      </c>
      <c r="H258" t="str">
        <f>TEXT(CleanData[[#This Row],[Date]],"mmm")</f>
        <v>May</v>
      </c>
      <c r="I258">
        <f>WEEKNUM(CleanData[[#This Row],[Date]])</f>
        <v>18</v>
      </c>
      <c r="J258">
        <f>IF(CleanData[[#This Row],[Revenue]]&gt;=CleanData[[#This Row],[Target]],1,0)</f>
        <v>1</v>
      </c>
      <c r="K258">
        <f>IF(CleanData[[#This Row],[Attendance_Status]]="Present",1,0)</f>
        <v>1</v>
      </c>
    </row>
    <row r="259" spans="1:11" x14ac:dyDescent="0.3">
      <c r="A259" t="s">
        <v>169</v>
      </c>
      <c r="B259" t="s">
        <v>54</v>
      </c>
      <c r="C259" t="s">
        <v>22</v>
      </c>
      <c r="D259">
        <v>19</v>
      </c>
      <c r="E259">
        <v>24438</v>
      </c>
      <c r="F259">
        <v>12964</v>
      </c>
      <c r="G259" t="s">
        <v>10</v>
      </c>
      <c r="H259" t="str">
        <f>TEXT(CleanData[[#This Row],[Date]],"mmm")</f>
        <v>Jan</v>
      </c>
      <c r="I259">
        <f>WEEKNUM(CleanData[[#This Row],[Date]])</f>
        <v>2</v>
      </c>
      <c r="J259">
        <f>IF(CleanData[[#This Row],[Revenue]]&gt;=CleanData[[#This Row],[Target]],1,0)</f>
        <v>1</v>
      </c>
      <c r="K259">
        <f>IF(CleanData[[#This Row],[Attendance_Status]]="Present",1,0)</f>
        <v>1</v>
      </c>
    </row>
    <row r="260" spans="1:11" x14ac:dyDescent="0.3">
      <c r="A260" t="s">
        <v>53</v>
      </c>
      <c r="B260" t="s">
        <v>46</v>
      </c>
      <c r="C260" t="s">
        <v>9</v>
      </c>
      <c r="D260">
        <v>24</v>
      </c>
      <c r="E260">
        <v>24498</v>
      </c>
      <c r="F260">
        <v>21994</v>
      </c>
      <c r="G260" t="s">
        <v>26</v>
      </c>
      <c r="H260" t="str">
        <f>TEXT(CleanData[[#This Row],[Date]],"mmm")</f>
        <v>Jan</v>
      </c>
      <c r="I260">
        <f>WEEKNUM(CleanData[[#This Row],[Date]])</f>
        <v>1</v>
      </c>
      <c r="J260">
        <f>IF(CleanData[[#This Row],[Revenue]]&gt;=CleanData[[#This Row],[Target]],1,0)</f>
        <v>1</v>
      </c>
      <c r="K260">
        <f>IF(CleanData[[#This Row],[Attendance_Status]]="Present",1,0)</f>
        <v>0</v>
      </c>
    </row>
    <row r="261" spans="1:11" x14ac:dyDescent="0.3">
      <c r="A261" t="s">
        <v>182</v>
      </c>
      <c r="B261" t="s">
        <v>15</v>
      </c>
      <c r="C261" t="s">
        <v>13</v>
      </c>
      <c r="D261">
        <v>24</v>
      </c>
      <c r="E261">
        <v>10968</v>
      </c>
      <c r="F261">
        <v>11659</v>
      </c>
      <c r="G261" t="s">
        <v>26</v>
      </c>
      <c r="H261" t="str">
        <f>TEXT(CleanData[[#This Row],[Date]],"mmm")</f>
        <v>Feb</v>
      </c>
      <c r="I261">
        <f>WEEKNUM(CleanData[[#This Row],[Date]])</f>
        <v>5</v>
      </c>
      <c r="J261">
        <f>IF(CleanData[[#This Row],[Revenue]]&gt;=CleanData[[#This Row],[Target]],1,0)</f>
        <v>0</v>
      </c>
      <c r="K261">
        <f>IF(CleanData[[#This Row],[Attendance_Status]]="Present",1,0)</f>
        <v>0</v>
      </c>
    </row>
    <row r="262" spans="1:11" x14ac:dyDescent="0.3">
      <c r="A262" t="s">
        <v>91</v>
      </c>
      <c r="B262" t="s">
        <v>37</v>
      </c>
      <c r="C262" t="s">
        <v>22</v>
      </c>
      <c r="D262">
        <v>20</v>
      </c>
      <c r="E262">
        <v>12869</v>
      </c>
      <c r="F262">
        <v>20201</v>
      </c>
      <c r="G262" t="s">
        <v>10</v>
      </c>
      <c r="H262" t="str">
        <f>TEXT(CleanData[[#This Row],[Date]],"mmm")</f>
        <v>Jan</v>
      </c>
      <c r="I262">
        <f>WEEKNUM(CleanData[[#This Row],[Date]])</f>
        <v>4</v>
      </c>
      <c r="J262">
        <f>IF(CleanData[[#This Row],[Revenue]]&gt;=CleanData[[#This Row],[Target]],1,0)</f>
        <v>0</v>
      </c>
      <c r="K262">
        <f>IF(CleanData[[#This Row],[Attendance_Status]]="Present",1,0)</f>
        <v>1</v>
      </c>
    </row>
    <row r="263" spans="1:11" x14ac:dyDescent="0.3">
      <c r="A263" t="s">
        <v>183</v>
      </c>
      <c r="B263" t="s">
        <v>29</v>
      </c>
      <c r="C263" t="s">
        <v>13</v>
      </c>
      <c r="D263">
        <v>8</v>
      </c>
      <c r="E263">
        <v>26532</v>
      </c>
      <c r="F263">
        <v>20625</v>
      </c>
      <c r="G263" t="s">
        <v>10</v>
      </c>
      <c r="H263" t="str">
        <f>TEXT(CleanData[[#This Row],[Date]],"mmm")</f>
        <v>Mar</v>
      </c>
      <c r="I263">
        <f>WEEKNUM(CleanData[[#This Row],[Date]])</f>
        <v>10</v>
      </c>
      <c r="J263">
        <f>IF(CleanData[[#This Row],[Revenue]]&gt;=CleanData[[#This Row],[Target]],1,0)</f>
        <v>1</v>
      </c>
      <c r="K263">
        <f>IF(CleanData[[#This Row],[Attendance_Status]]="Present",1,0)</f>
        <v>1</v>
      </c>
    </row>
    <row r="264" spans="1:11" x14ac:dyDescent="0.3">
      <c r="A264" t="s">
        <v>124</v>
      </c>
      <c r="B264" t="s">
        <v>54</v>
      </c>
      <c r="C264" t="s">
        <v>22</v>
      </c>
      <c r="D264">
        <v>12</v>
      </c>
      <c r="E264">
        <v>8749</v>
      </c>
      <c r="F264">
        <v>14412</v>
      </c>
      <c r="G264" t="s">
        <v>10</v>
      </c>
      <c r="H264" t="str">
        <f>TEXT(CleanData[[#This Row],[Date]],"mmm")</f>
        <v>Feb</v>
      </c>
      <c r="I264">
        <f>WEEKNUM(CleanData[[#This Row],[Date]])</f>
        <v>7</v>
      </c>
      <c r="J264">
        <f>IF(CleanData[[#This Row],[Revenue]]&gt;=CleanData[[#This Row],[Target]],1,0)</f>
        <v>0</v>
      </c>
      <c r="K264">
        <f>IF(CleanData[[#This Row],[Attendance_Status]]="Present",1,0)</f>
        <v>1</v>
      </c>
    </row>
    <row r="265" spans="1:11" x14ac:dyDescent="0.3">
      <c r="A265" t="s">
        <v>132</v>
      </c>
      <c r="B265" t="s">
        <v>12</v>
      </c>
      <c r="C265" t="s">
        <v>13</v>
      </c>
      <c r="D265">
        <v>22</v>
      </c>
      <c r="E265">
        <v>12851</v>
      </c>
      <c r="F265">
        <v>15842</v>
      </c>
      <c r="G265" t="s">
        <v>10</v>
      </c>
      <c r="H265" t="str">
        <f>TEXT(CleanData[[#This Row],[Date]],"mmm")</f>
        <v>Jun</v>
      </c>
      <c r="I265">
        <f>WEEKNUM(CleanData[[#This Row],[Date]])</f>
        <v>23</v>
      </c>
      <c r="J265">
        <f>IF(CleanData[[#This Row],[Revenue]]&gt;=CleanData[[#This Row],[Target]],1,0)</f>
        <v>0</v>
      </c>
      <c r="K265">
        <f>IF(CleanData[[#This Row],[Attendance_Status]]="Present",1,0)</f>
        <v>1</v>
      </c>
    </row>
    <row r="266" spans="1:11" x14ac:dyDescent="0.3">
      <c r="A266" t="s">
        <v>184</v>
      </c>
      <c r="B266" t="s">
        <v>48</v>
      </c>
      <c r="C266" t="s">
        <v>9</v>
      </c>
      <c r="D266">
        <v>20</v>
      </c>
      <c r="E266">
        <v>8592</v>
      </c>
      <c r="F266">
        <v>12248</v>
      </c>
      <c r="G266" t="s">
        <v>10</v>
      </c>
      <c r="H266" t="str">
        <f>TEXT(CleanData[[#This Row],[Date]],"mmm")</f>
        <v>Apr</v>
      </c>
      <c r="I266">
        <f>WEEKNUM(CleanData[[#This Row],[Date]])</f>
        <v>17</v>
      </c>
      <c r="J266">
        <f>IF(CleanData[[#This Row],[Revenue]]&gt;=CleanData[[#This Row],[Target]],1,0)</f>
        <v>0</v>
      </c>
      <c r="K266">
        <f>IF(CleanData[[#This Row],[Attendance_Status]]="Present",1,0)</f>
        <v>1</v>
      </c>
    </row>
    <row r="267" spans="1:11" x14ac:dyDescent="0.3">
      <c r="A267" t="s">
        <v>139</v>
      </c>
      <c r="B267" t="s">
        <v>29</v>
      </c>
      <c r="C267" t="s">
        <v>9</v>
      </c>
      <c r="D267">
        <v>10</v>
      </c>
      <c r="E267">
        <v>7675</v>
      </c>
      <c r="F267">
        <v>21885</v>
      </c>
      <c r="G267" t="s">
        <v>10</v>
      </c>
      <c r="H267" t="str">
        <f>TEXT(CleanData[[#This Row],[Date]],"mmm")</f>
        <v>Apr</v>
      </c>
      <c r="I267">
        <f>WEEKNUM(CleanData[[#This Row],[Date]])</f>
        <v>17</v>
      </c>
      <c r="J267">
        <f>IF(CleanData[[#This Row],[Revenue]]&gt;=CleanData[[#This Row],[Target]],1,0)</f>
        <v>0</v>
      </c>
      <c r="K267">
        <f>IF(CleanData[[#This Row],[Attendance_Status]]="Present",1,0)</f>
        <v>1</v>
      </c>
    </row>
    <row r="268" spans="1:11" x14ac:dyDescent="0.3">
      <c r="A268" t="s">
        <v>167</v>
      </c>
      <c r="B268" t="s">
        <v>40</v>
      </c>
      <c r="C268" t="s">
        <v>13</v>
      </c>
      <c r="D268">
        <v>10</v>
      </c>
      <c r="E268">
        <v>11290</v>
      </c>
      <c r="F268">
        <v>23341</v>
      </c>
      <c r="G268" t="s">
        <v>26</v>
      </c>
      <c r="H268" t="str">
        <f>TEXT(CleanData[[#This Row],[Date]],"mmm")</f>
        <v>May</v>
      </c>
      <c r="I268">
        <f>WEEKNUM(CleanData[[#This Row],[Date]])</f>
        <v>19</v>
      </c>
      <c r="J268">
        <f>IF(CleanData[[#This Row],[Revenue]]&gt;=CleanData[[#This Row],[Target]],1,0)</f>
        <v>0</v>
      </c>
      <c r="K268">
        <f>IF(CleanData[[#This Row],[Attendance_Status]]="Present",1,0)</f>
        <v>0</v>
      </c>
    </row>
    <row r="269" spans="1:11" x14ac:dyDescent="0.3">
      <c r="A269" t="s">
        <v>86</v>
      </c>
      <c r="B269" t="s">
        <v>101</v>
      </c>
      <c r="C269" t="s">
        <v>13</v>
      </c>
      <c r="D269">
        <v>17</v>
      </c>
      <c r="E269">
        <v>18609</v>
      </c>
      <c r="F269">
        <v>10653</v>
      </c>
      <c r="G269" t="s">
        <v>10</v>
      </c>
      <c r="H269" t="str">
        <f>TEXT(CleanData[[#This Row],[Date]],"mmm")</f>
        <v>Apr</v>
      </c>
      <c r="I269">
        <f>WEEKNUM(CleanData[[#This Row],[Date]])</f>
        <v>16</v>
      </c>
      <c r="J269">
        <f>IF(CleanData[[#This Row],[Revenue]]&gt;=CleanData[[#This Row],[Target]],1,0)</f>
        <v>1</v>
      </c>
      <c r="K269">
        <f>IF(CleanData[[#This Row],[Attendance_Status]]="Present",1,0)</f>
        <v>1</v>
      </c>
    </row>
    <row r="270" spans="1:11" x14ac:dyDescent="0.3">
      <c r="A270" t="s">
        <v>135</v>
      </c>
      <c r="B270" t="s">
        <v>50</v>
      </c>
      <c r="C270" t="s">
        <v>22</v>
      </c>
      <c r="D270">
        <v>7</v>
      </c>
      <c r="E270">
        <v>21675</v>
      </c>
      <c r="F270">
        <v>13765</v>
      </c>
      <c r="G270" t="s">
        <v>10</v>
      </c>
      <c r="H270" t="str">
        <f>TEXT(CleanData[[#This Row],[Date]],"mmm")</f>
        <v>Feb</v>
      </c>
      <c r="I270">
        <f>WEEKNUM(CleanData[[#This Row],[Date]])</f>
        <v>6</v>
      </c>
      <c r="J270">
        <f>IF(CleanData[[#This Row],[Revenue]]&gt;=CleanData[[#This Row],[Target]],1,0)</f>
        <v>1</v>
      </c>
      <c r="K270">
        <f>IF(CleanData[[#This Row],[Attendance_Status]]="Present",1,0)</f>
        <v>1</v>
      </c>
    </row>
    <row r="271" spans="1:11" x14ac:dyDescent="0.3">
      <c r="A271" t="s">
        <v>112</v>
      </c>
      <c r="B271" t="s">
        <v>19</v>
      </c>
      <c r="C271" t="s">
        <v>9</v>
      </c>
      <c r="D271">
        <v>6</v>
      </c>
      <c r="E271">
        <v>16821</v>
      </c>
      <c r="F271">
        <v>16420</v>
      </c>
      <c r="G271" t="s">
        <v>26</v>
      </c>
      <c r="H271" t="str">
        <f>TEXT(CleanData[[#This Row],[Date]],"mmm")</f>
        <v>Apr</v>
      </c>
      <c r="I271">
        <f>WEEKNUM(CleanData[[#This Row],[Date]])</f>
        <v>14</v>
      </c>
      <c r="J271">
        <f>IF(CleanData[[#This Row],[Revenue]]&gt;=CleanData[[#This Row],[Target]],1,0)</f>
        <v>1</v>
      </c>
      <c r="K271">
        <f>IF(CleanData[[#This Row],[Attendance_Status]]="Present",1,0)</f>
        <v>0</v>
      </c>
    </row>
    <row r="272" spans="1:11" x14ac:dyDescent="0.3">
      <c r="A272" t="s">
        <v>59</v>
      </c>
      <c r="B272" t="s">
        <v>27</v>
      </c>
      <c r="C272" t="s">
        <v>13</v>
      </c>
      <c r="D272">
        <v>18</v>
      </c>
      <c r="E272">
        <v>16935</v>
      </c>
      <c r="F272">
        <v>23608</v>
      </c>
      <c r="G272" t="s">
        <v>10</v>
      </c>
      <c r="H272" t="str">
        <f>TEXT(CleanData[[#This Row],[Date]],"mmm")</f>
        <v>Mar</v>
      </c>
      <c r="I272">
        <f>WEEKNUM(CleanData[[#This Row],[Date]])</f>
        <v>12</v>
      </c>
      <c r="J272">
        <f>IF(CleanData[[#This Row],[Revenue]]&gt;=CleanData[[#This Row],[Target]],1,0)</f>
        <v>0</v>
      </c>
      <c r="K272">
        <f>IF(CleanData[[#This Row],[Attendance_Status]]="Present",1,0)</f>
        <v>1</v>
      </c>
    </row>
    <row r="273" spans="1:11" x14ac:dyDescent="0.3">
      <c r="A273" t="s">
        <v>159</v>
      </c>
      <c r="B273" t="s">
        <v>79</v>
      </c>
      <c r="C273" t="s">
        <v>13</v>
      </c>
      <c r="D273">
        <v>16</v>
      </c>
      <c r="E273">
        <v>5768</v>
      </c>
      <c r="F273">
        <v>15505</v>
      </c>
      <c r="G273" t="s">
        <v>10</v>
      </c>
      <c r="H273" t="str">
        <f>TEXT(CleanData[[#This Row],[Date]],"mmm")</f>
        <v>May</v>
      </c>
      <c r="I273">
        <f>WEEKNUM(CleanData[[#This Row],[Date]])</f>
        <v>18</v>
      </c>
      <c r="J273">
        <f>IF(CleanData[[#This Row],[Revenue]]&gt;=CleanData[[#This Row],[Target]],1,0)</f>
        <v>0</v>
      </c>
      <c r="K273">
        <f>IF(CleanData[[#This Row],[Attendance_Status]]="Present",1,0)</f>
        <v>1</v>
      </c>
    </row>
    <row r="274" spans="1:11" x14ac:dyDescent="0.3">
      <c r="A274" t="s">
        <v>181</v>
      </c>
      <c r="B274" t="s">
        <v>75</v>
      </c>
      <c r="C274" t="s">
        <v>9</v>
      </c>
      <c r="D274">
        <v>19</v>
      </c>
      <c r="E274">
        <v>23247</v>
      </c>
      <c r="F274">
        <v>14564</v>
      </c>
      <c r="G274" t="s">
        <v>10</v>
      </c>
      <c r="H274" t="str">
        <f>TEXT(CleanData[[#This Row],[Date]],"mmm")</f>
        <v>May</v>
      </c>
      <c r="I274">
        <f>WEEKNUM(CleanData[[#This Row],[Date]])</f>
        <v>19</v>
      </c>
      <c r="J274">
        <f>IF(CleanData[[#This Row],[Revenue]]&gt;=CleanData[[#This Row],[Target]],1,0)</f>
        <v>1</v>
      </c>
      <c r="K274">
        <f>IF(CleanData[[#This Row],[Attendance_Status]]="Present",1,0)</f>
        <v>1</v>
      </c>
    </row>
    <row r="275" spans="1:11" x14ac:dyDescent="0.3">
      <c r="A275" t="s">
        <v>89</v>
      </c>
      <c r="B275" t="s">
        <v>15</v>
      </c>
      <c r="C275" t="s">
        <v>22</v>
      </c>
      <c r="D275">
        <v>8</v>
      </c>
      <c r="E275">
        <v>7263</v>
      </c>
      <c r="F275">
        <v>10410</v>
      </c>
      <c r="G275" t="s">
        <v>10</v>
      </c>
      <c r="H275" t="str">
        <f>TEXT(CleanData[[#This Row],[Date]],"mmm")</f>
        <v>Jun</v>
      </c>
      <c r="I275">
        <f>WEEKNUM(CleanData[[#This Row],[Date]])</f>
        <v>23</v>
      </c>
      <c r="J275">
        <f>IF(CleanData[[#This Row],[Revenue]]&gt;=CleanData[[#This Row],[Target]],1,0)</f>
        <v>0</v>
      </c>
      <c r="K275">
        <f>IF(CleanData[[#This Row],[Attendance_Status]]="Present",1,0)</f>
        <v>1</v>
      </c>
    </row>
    <row r="276" spans="1:11" x14ac:dyDescent="0.3">
      <c r="A276" t="s">
        <v>119</v>
      </c>
      <c r="B276" t="s">
        <v>69</v>
      </c>
      <c r="C276" t="s">
        <v>22</v>
      </c>
      <c r="D276">
        <v>21</v>
      </c>
      <c r="E276">
        <v>5656</v>
      </c>
      <c r="F276">
        <v>15626</v>
      </c>
      <c r="G276" t="s">
        <v>10</v>
      </c>
      <c r="H276" t="str">
        <f>TEXT(CleanData[[#This Row],[Date]],"mmm")</f>
        <v>Jan</v>
      </c>
      <c r="I276">
        <f>WEEKNUM(CleanData[[#This Row],[Date]])</f>
        <v>4</v>
      </c>
      <c r="J276">
        <f>IF(CleanData[[#This Row],[Revenue]]&gt;=CleanData[[#This Row],[Target]],1,0)</f>
        <v>0</v>
      </c>
      <c r="K276">
        <f>IF(CleanData[[#This Row],[Attendance_Status]]="Present",1,0)</f>
        <v>1</v>
      </c>
    </row>
    <row r="277" spans="1:11" x14ac:dyDescent="0.3">
      <c r="A277" t="s">
        <v>114</v>
      </c>
      <c r="B277" t="s">
        <v>29</v>
      </c>
      <c r="C277" t="s">
        <v>9</v>
      </c>
      <c r="D277">
        <v>25</v>
      </c>
      <c r="E277">
        <v>19006</v>
      </c>
      <c r="F277">
        <v>10602</v>
      </c>
      <c r="G277" t="s">
        <v>26</v>
      </c>
      <c r="H277" t="str">
        <f>TEXT(CleanData[[#This Row],[Date]],"mmm")</f>
        <v>May</v>
      </c>
      <c r="I277">
        <f>WEEKNUM(CleanData[[#This Row],[Date]])</f>
        <v>20</v>
      </c>
      <c r="J277">
        <f>IF(CleanData[[#This Row],[Revenue]]&gt;=CleanData[[#This Row],[Target]],1,0)</f>
        <v>1</v>
      </c>
      <c r="K277">
        <f>IF(CleanData[[#This Row],[Attendance_Status]]="Present",1,0)</f>
        <v>0</v>
      </c>
    </row>
    <row r="278" spans="1:11" x14ac:dyDescent="0.3">
      <c r="A278" t="s">
        <v>168</v>
      </c>
      <c r="B278" t="s">
        <v>73</v>
      </c>
      <c r="C278" t="s">
        <v>9</v>
      </c>
      <c r="D278">
        <v>12</v>
      </c>
      <c r="E278">
        <v>25416</v>
      </c>
      <c r="F278">
        <v>20330</v>
      </c>
      <c r="G278" t="s">
        <v>10</v>
      </c>
      <c r="H278" t="str">
        <f>TEXT(CleanData[[#This Row],[Date]],"mmm")</f>
        <v>Mar</v>
      </c>
      <c r="I278">
        <f>WEEKNUM(CleanData[[#This Row],[Date]])</f>
        <v>13</v>
      </c>
      <c r="J278">
        <f>IF(CleanData[[#This Row],[Revenue]]&gt;=CleanData[[#This Row],[Target]],1,0)</f>
        <v>1</v>
      </c>
      <c r="K278">
        <f>IF(CleanData[[#This Row],[Attendance_Status]]="Present",1,0)</f>
        <v>1</v>
      </c>
    </row>
    <row r="279" spans="1:11" x14ac:dyDescent="0.3">
      <c r="A279" t="s">
        <v>161</v>
      </c>
      <c r="B279" t="s">
        <v>67</v>
      </c>
      <c r="C279" t="s">
        <v>9</v>
      </c>
      <c r="D279">
        <v>10</v>
      </c>
      <c r="E279">
        <v>26192</v>
      </c>
      <c r="F279">
        <v>21134</v>
      </c>
      <c r="G279" t="s">
        <v>10</v>
      </c>
      <c r="H279" t="str">
        <f>TEXT(CleanData[[#This Row],[Date]],"mmm")</f>
        <v>Mar</v>
      </c>
      <c r="I279">
        <f>WEEKNUM(CleanData[[#This Row],[Date]])</f>
        <v>13</v>
      </c>
      <c r="J279">
        <f>IF(CleanData[[#This Row],[Revenue]]&gt;=CleanData[[#This Row],[Target]],1,0)</f>
        <v>1</v>
      </c>
      <c r="K279">
        <f>IF(CleanData[[#This Row],[Attendance_Status]]="Present",1,0)</f>
        <v>1</v>
      </c>
    </row>
    <row r="280" spans="1:11" x14ac:dyDescent="0.3">
      <c r="A280" t="s">
        <v>145</v>
      </c>
      <c r="B280" t="s">
        <v>33</v>
      </c>
      <c r="C280" t="s">
        <v>22</v>
      </c>
      <c r="D280">
        <v>19</v>
      </c>
      <c r="E280">
        <v>21250</v>
      </c>
      <c r="F280">
        <v>17683</v>
      </c>
      <c r="G280" t="s">
        <v>10</v>
      </c>
      <c r="H280" t="str">
        <f>TEXT(CleanData[[#This Row],[Date]],"mmm")</f>
        <v>Feb</v>
      </c>
      <c r="I280">
        <f>WEEKNUM(CleanData[[#This Row],[Date]])</f>
        <v>7</v>
      </c>
      <c r="J280">
        <f>IF(CleanData[[#This Row],[Revenue]]&gt;=CleanData[[#This Row],[Target]],1,0)</f>
        <v>1</v>
      </c>
      <c r="K280">
        <f>IF(CleanData[[#This Row],[Attendance_Status]]="Present",1,0)</f>
        <v>1</v>
      </c>
    </row>
    <row r="281" spans="1:11" x14ac:dyDescent="0.3">
      <c r="A281" t="s">
        <v>126</v>
      </c>
      <c r="B281" t="s">
        <v>21</v>
      </c>
      <c r="C281" t="s">
        <v>13</v>
      </c>
      <c r="D281">
        <v>5</v>
      </c>
      <c r="E281">
        <v>9108</v>
      </c>
      <c r="F281">
        <v>21966</v>
      </c>
      <c r="G281" t="s">
        <v>10</v>
      </c>
      <c r="H281" t="str">
        <f>TEXT(CleanData[[#This Row],[Date]],"mmm")</f>
        <v>Jun</v>
      </c>
      <c r="I281">
        <f>WEEKNUM(CleanData[[#This Row],[Date]])</f>
        <v>25</v>
      </c>
      <c r="J281">
        <f>IF(CleanData[[#This Row],[Revenue]]&gt;=CleanData[[#This Row],[Target]],1,0)</f>
        <v>0</v>
      </c>
      <c r="K281">
        <f>IF(CleanData[[#This Row],[Attendance_Status]]="Present",1,0)</f>
        <v>1</v>
      </c>
    </row>
    <row r="282" spans="1:11" x14ac:dyDescent="0.3">
      <c r="A282" t="s">
        <v>43</v>
      </c>
      <c r="B282" t="s">
        <v>29</v>
      </c>
      <c r="C282" t="s">
        <v>9</v>
      </c>
      <c r="D282">
        <v>22</v>
      </c>
      <c r="E282">
        <v>25787</v>
      </c>
      <c r="F282">
        <v>13562</v>
      </c>
      <c r="G282" t="s">
        <v>10</v>
      </c>
      <c r="H282" t="str">
        <f>TEXT(CleanData[[#This Row],[Date]],"mmm")</f>
        <v>Feb</v>
      </c>
      <c r="I282">
        <f>WEEKNUM(CleanData[[#This Row],[Date]])</f>
        <v>8</v>
      </c>
      <c r="J282">
        <f>IF(CleanData[[#This Row],[Revenue]]&gt;=CleanData[[#This Row],[Target]],1,0)</f>
        <v>1</v>
      </c>
      <c r="K282">
        <f>IF(CleanData[[#This Row],[Attendance_Status]]="Present",1,0)</f>
        <v>1</v>
      </c>
    </row>
    <row r="283" spans="1:11" x14ac:dyDescent="0.3">
      <c r="A283" t="s">
        <v>185</v>
      </c>
      <c r="B283" t="s">
        <v>33</v>
      </c>
      <c r="C283" t="s">
        <v>9</v>
      </c>
      <c r="D283">
        <v>8</v>
      </c>
      <c r="E283">
        <v>13403</v>
      </c>
      <c r="F283">
        <v>18455</v>
      </c>
      <c r="G283" t="s">
        <v>26</v>
      </c>
      <c r="H283" t="str">
        <f>TEXT(CleanData[[#This Row],[Date]],"mmm")</f>
        <v>Feb</v>
      </c>
      <c r="I283">
        <f>WEEKNUM(CleanData[[#This Row],[Date]])</f>
        <v>8</v>
      </c>
      <c r="J283">
        <f>IF(CleanData[[#This Row],[Revenue]]&gt;=CleanData[[#This Row],[Target]],1,0)</f>
        <v>0</v>
      </c>
      <c r="K283">
        <f>IF(CleanData[[#This Row],[Attendance_Status]]="Present",1,0)</f>
        <v>0</v>
      </c>
    </row>
    <row r="284" spans="1:11" x14ac:dyDescent="0.3">
      <c r="A284" t="s">
        <v>53</v>
      </c>
      <c r="B284" t="s">
        <v>33</v>
      </c>
      <c r="C284" t="s">
        <v>22</v>
      </c>
      <c r="D284">
        <v>6</v>
      </c>
      <c r="E284">
        <v>7141</v>
      </c>
      <c r="F284">
        <v>15479</v>
      </c>
      <c r="G284" t="s">
        <v>10</v>
      </c>
      <c r="H284" t="str">
        <f>TEXT(CleanData[[#This Row],[Date]],"mmm")</f>
        <v>Jan</v>
      </c>
      <c r="I284">
        <f>WEEKNUM(CleanData[[#This Row],[Date]])</f>
        <v>1</v>
      </c>
      <c r="J284">
        <f>IF(CleanData[[#This Row],[Revenue]]&gt;=CleanData[[#This Row],[Target]],1,0)</f>
        <v>0</v>
      </c>
      <c r="K284">
        <f>IF(CleanData[[#This Row],[Attendance_Status]]="Present",1,0)</f>
        <v>1</v>
      </c>
    </row>
    <row r="285" spans="1:11" x14ac:dyDescent="0.3">
      <c r="A285" t="s">
        <v>184</v>
      </c>
      <c r="B285" t="s">
        <v>120</v>
      </c>
      <c r="C285" t="s">
        <v>13</v>
      </c>
      <c r="D285">
        <v>20</v>
      </c>
      <c r="E285">
        <v>18897</v>
      </c>
      <c r="F285">
        <v>20711</v>
      </c>
      <c r="G285" t="s">
        <v>10</v>
      </c>
      <c r="H285" t="str">
        <f>TEXT(CleanData[[#This Row],[Date]],"mmm")</f>
        <v>Apr</v>
      </c>
      <c r="I285">
        <f>WEEKNUM(CleanData[[#This Row],[Date]])</f>
        <v>17</v>
      </c>
      <c r="J285">
        <f>IF(CleanData[[#This Row],[Revenue]]&gt;=CleanData[[#This Row],[Target]],1,0)</f>
        <v>0</v>
      </c>
      <c r="K285">
        <f>IF(CleanData[[#This Row],[Attendance_Status]]="Present",1,0)</f>
        <v>1</v>
      </c>
    </row>
    <row r="286" spans="1:11" x14ac:dyDescent="0.3">
      <c r="A286" t="s">
        <v>186</v>
      </c>
      <c r="B286" t="s">
        <v>31</v>
      </c>
      <c r="C286" t="s">
        <v>22</v>
      </c>
      <c r="D286">
        <v>19</v>
      </c>
      <c r="E286">
        <v>17862</v>
      </c>
      <c r="F286">
        <v>17909</v>
      </c>
      <c r="G286" t="s">
        <v>10</v>
      </c>
      <c r="H286" t="str">
        <f>TEXT(CleanData[[#This Row],[Date]],"mmm")</f>
        <v>Apr</v>
      </c>
      <c r="I286">
        <f>WEEKNUM(CleanData[[#This Row],[Date]])</f>
        <v>16</v>
      </c>
      <c r="J286">
        <f>IF(CleanData[[#This Row],[Revenue]]&gt;=CleanData[[#This Row],[Target]],1,0)</f>
        <v>0</v>
      </c>
      <c r="K286">
        <f>IF(CleanData[[#This Row],[Attendance_Status]]="Present",1,0)</f>
        <v>1</v>
      </c>
    </row>
    <row r="287" spans="1:11" x14ac:dyDescent="0.3">
      <c r="A287" t="s">
        <v>43</v>
      </c>
      <c r="B287" t="s">
        <v>75</v>
      </c>
      <c r="C287" t="s">
        <v>9</v>
      </c>
      <c r="D287">
        <v>24</v>
      </c>
      <c r="E287">
        <v>5005</v>
      </c>
      <c r="F287">
        <v>18188</v>
      </c>
      <c r="G287" t="s">
        <v>10</v>
      </c>
      <c r="H287" t="str">
        <f>TEXT(CleanData[[#This Row],[Date]],"mmm")</f>
        <v>Feb</v>
      </c>
      <c r="I287">
        <f>WEEKNUM(CleanData[[#This Row],[Date]])</f>
        <v>8</v>
      </c>
      <c r="J287">
        <f>IF(CleanData[[#This Row],[Revenue]]&gt;=CleanData[[#This Row],[Target]],1,0)</f>
        <v>0</v>
      </c>
      <c r="K287">
        <f>IF(CleanData[[#This Row],[Attendance_Status]]="Present",1,0)</f>
        <v>1</v>
      </c>
    </row>
    <row r="288" spans="1:11" x14ac:dyDescent="0.3">
      <c r="A288" t="s">
        <v>140</v>
      </c>
      <c r="B288" t="s">
        <v>50</v>
      </c>
      <c r="C288" t="s">
        <v>9</v>
      </c>
      <c r="D288">
        <v>25</v>
      </c>
      <c r="E288">
        <v>25565</v>
      </c>
      <c r="F288">
        <v>20344</v>
      </c>
      <c r="G288" t="s">
        <v>10</v>
      </c>
      <c r="H288" t="str">
        <f>TEXT(CleanData[[#This Row],[Date]],"mmm")</f>
        <v>Apr</v>
      </c>
      <c r="I288">
        <f>WEEKNUM(CleanData[[#This Row],[Date]])</f>
        <v>15</v>
      </c>
      <c r="J288">
        <f>IF(CleanData[[#This Row],[Revenue]]&gt;=CleanData[[#This Row],[Target]],1,0)</f>
        <v>1</v>
      </c>
      <c r="K288">
        <f>IF(CleanData[[#This Row],[Attendance_Status]]="Present",1,0)</f>
        <v>1</v>
      </c>
    </row>
    <row r="289" spans="1:11" x14ac:dyDescent="0.3">
      <c r="A289" t="s">
        <v>187</v>
      </c>
      <c r="B289" t="s">
        <v>120</v>
      </c>
      <c r="C289" t="s">
        <v>9</v>
      </c>
      <c r="D289">
        <v>17</v>
      </c>
      <c r="E289">
        <v>6662</v>
      </c>
      <c r="F289">
        <v>16229</v>
      </c>
      <c r="G289" t="s">
        <v>10</v>
      </c>
      <c r="H289" t="str">
        <f>TEXT(CleanData[[#This Row],[Date]],"mmm")</f>
        <v>Mar</v>
      </c>
      <c r="I289">
        <f>WEEKNUM(CleanData[[#This Row],[Date]])</f>
        <v>11</v>
      </c>
      <c r="J289">
        <f>IF(CleanData[[#This Row],[Revenue]]&gt;=CleanData[[#This Row],[Target]],1,0)</f>
        <v>0</v>
      </c>
      <c r="K289">
        <f>IF(CleanData[[#This Row],[Attendance_Status]]="Present",1,0)</f>
        <v>1</v>
      </c>
    </row>
    <row r="290" spans="1:11" x14ac:dyDescent="0.3">
      <c r="A290" t="s">
        <v>184</v>
      </c>
      <c r="B290" t="s">
        <v>46</v>
      </c>
      <c r="C290" t="s">
        <v>22</v>
      </c>
      <c r="D290">
        <v>25</v>
      </c>
      <c r="E290">
        <v>12057</v>
      </c>
      <c r="F290">
        <v>18790</v>
      </c>
      <c r="G290" t="s">
        <v>10</v>
      </c>
      <c r="H290" t="str">
        <f>TEXT(CleanData[[#This Row],[Date]],"mmm")</f>
        <v>Apr</v>
      </c>
      <c r="I290">
        <f>WEEKNUM(CleanData[[#This Row],[Date]])</f>
        <v>17</v>
      </c>
      <c r="J290">
        <f>IF(CleanData[[#This Row],[Revenue]]&gt;=CleanData[[#This Row],[Target]],1,0)</f>
        <v>0</v>
      </c>
      <c r="K290">
        <f>IF(CleanData[[#This Row],[Attendance_Status]]="Present",1,0)</f>
        <v>1</v>
      </c>
    </row>
    <row r="291" spans="1:11" x14ac:dyDescent="0.3">
      <c r="A291" t="s">
        <v>169</v>
      </c>
      <c r="B291" t="s">
        <v>25</v>
      </c>
      <c r="C291" t="s">
        <v>22</v>
      </c>
      <c r="D291">
        <v>6</v>
      </c>
      <c r="E291">
        <v>26623</v>
      </c>
      <c r="F291">
        <v>21933</v>
      </c>
      <c r="G291" t="s">
        <v>10</v>
      </c>
      <c r="H291" t="str">
        <f>TEXT(CleanData[[#This Row],[Date]],"mmm")</f>
        <v>Jan</v>
      </c>
      <c r="I291">
        <f>WEEKNUM(CleanData[[#This Row],[Date]])</f>
        <v>2</v>
      </c>
      <c r="J291">
        <f>IF(CleanData[[#This Row],[Revenue]]&gt;=CleanData[[#This Row],[Target]],1,0)</f>
        <v>1</v>
      </c>
      <c r="K291">
        <f>IF(CleanData[[#This Row],[Attendance_Status]]="Present",1,0)</f>
        <v>1</v>
      </c>
    </row>
    <row r="292" spans="1:11" x14ac:dyDescent="0.3">
      <c r="A292" t="s">
        <v>159</v>
      </c>
      <c r="B292" t="s">
        <v>33</v>
      </c>
      <c r="C292" t="s">
        <v>13</v>
      </c>
      <c r="D292">
        <v>9</v>
      </c>
      <c r="E292">
        <v>9704</v>
      </c>
      <c r="F292">
        <v>16738</v>
      </c>
      <c r="G292" t="s">
        <v>10</v>
      </c>
      <c r="H292" t="str">
        <f>TEXT(CleanData[[#This Row],[Date]],"mmm")</f>
        <v>May</v>
      </c>
      <c r="I292">
        <f>WEEKNUM(CleanData[[#This Row],[Date]])</f>
        <v>18</v>
      </c>
      <c r="J292">
        <f>IF(CleanData[[#This Row],[Revenue]]&gt;=CleanData[[#This Row],[Target]],1,0)</f>
        <v>0</v>
      </c>
      <c r="K292">
        <f>IF(CleanData[[#This Row],[Attendance_Status]]="Present",1,0)</f>
        <v>1</v>
      </c>
    </row>
    <row r="293" spans="1:11" x14ac:dyDescent="0.3">
      <c r="A293" t="s">
        <v>77</v>
      </c>
      <c r="B293" t="s">
        <v>33</v>
      </c>
      <c r="C293" t="s">
        <v>22</v>
      </c>
      <c r="D293">
        <v>5</v>
      </c>
      <c r="E293">
        <v>24188</v>
      </c>
      <c r="F293">
        <v>19556</v>
      </c>
      <c r="G293" t="s">
        <v>26</v>
      </c>
      <c r="H293" t="str">
        <f>TEXT(CleanData[[#This Row],[Date]],"mmm")</f>
        <v>Jun</v>
      </c>
      <c r="I293">
        <f>WEEKNUM(CleanData[[#This Row],[Date]])</f>
        <v>24</v>
      </c>
      <c r="J293">
        <f>IF(CleanData[[#This Row],[Revenue]]&gt;=CleanData[[#This Row],[Target]],1,0)</f>
        <v>1</v>
      </c>
      <c r="K293">
        <f>IF(CleanData[[#This Row],[Attendance_Status]]="Present",1,0)</f>
        <v>0</v>
      </c>
    </row>
    <row r="294" spans="1:11" x14ac:dyDescent="0.3">
      <c r="A294" t="s">
        <v>188</v>
      </c>
      <c r="B294" t="s">
        <v>27</v>
      </c>
      <c r="C294" t="s">
        <v>22</v>
      </c>
      <c r="D294">
        <v>20</v>
      </c>
      <c r="E294">
        <v>11568</v>
      </c>
      <c r="F294">
        <v>11488</v>
      </c>
      <c r="G294" t="s">
        <v>10</v>
      </c>
      <c r="H294" t="str">
        <f>TEXT(CleanData[[#This Row],[Date]],"mmm")</f>
        <v>May</v>
      </c>
      <c r="I294">
        <f>WEEKNUM(CleanData[[#This Row],[Date]])</f>
        <v>19</v>
      </c>
      <c r="J294">
        <f>IF(CleanData[[#This Row],[Revenue]]&gt;=CleanData[[#This Row],[Target]],1,0)</f>
        <v>1</v>
      </c>
      <c r="K294">
        <f>IF(CleanData[[#This Row],[Attendance_Status]]="Present",1,0)</f>
        <v>1</v>
      </c>
    </row>
    <row r="295" spans="1:11" x14ac:dyDescent="0.3">
      <c r="A295" t="s">
        <v>41</v>
      </c>
      <c r="B295" t="s">
        <v>67</v>
      </c>
      <c r="C295" t="s">
        <v>22</v>
      </c>
      <c r="D295">
        <v>7</v>
      </c>
      <c r="E295">
        <v>11203</v>
      </c>
      <c r="F295">
        <v>19828</v>
      </c>
      <c r="G295" t="s">
        <v>10</v>
      </c>
      <c r="H295" t="str">
        <f>TEXT(CleanData[[#This Row],[Date]],"mmm")</f>
        <v>Jun</v>
      </c>
      <c r="I295">
        <f>WEEKNUM(CleanData[[#This Row],[Date]])</f>
        <v>26</v>
      </c>
      <c r="J295">
        <f>IF(CleanData[[#This Row],[Revenue]]&gt;=CleanData[[#This Row],[Target]],1,0)</f>
        <v>0</v>
      </c>
      <c r="K295">
        <f>IF(CleanData[[#This Row],[Attendance_Status]]="Present",1,0)</f>
        <v>1</v>
      </c>
    </row>
    <row r="296" spans="1:11" x14ac:dyDescent="0.3">
      <c r="A296" t="s">
        <v>135</v>
      </c>
      <c r="B296" t="s">
        <v>29</v>
      </c>
      <c r="C296" t="s">
        <v>9</v>
      </c>
      <c r="D296">
        <v>23</v>
      </c>
      <c r="E296">
        <v>13366</v>
      </c>
      <c r="F296">
        <v>13141</v>
      </c>
      <c r="G296" t="s">
        <v>10</v>
      </c>
      <c r="H296" t="str">
        <f>TEXT(CleanData[[#This Row],[Date]],"mmm")</f>
        <v>Feb</v>
      </c>
      <c r="I296">
        <f>WEEKNUM(CleanData[[#This Row],[Date]])</f>
        <v>6</v>
      </c>
      <c r="J296">
        <f>IF(CleanData[[#This Row],[Revenue]]&gt;=CleanData[[#This Row],[Target]],1,0)</f>
        <v>1</v>
      </c>
      <c r="K296">
        <f>IF(CleanData[[#This Row],[Attendance_Status]]="Present",1,0)</f>
        <v>1</v>
      </c>
    </row>
    <row r="297" spans="1:11" x14ac:dyDescent="0.3">
      <c r="A297" t="s">
        <v>189</v>
      </c>
      <c r="B297" t="s">
        <v>33</v>
      </c>
      <c r="C297" t="s">
        <v>13</v>
      </c>
      <c r="D297">
        <v>20</v>
      </c>
      <c r="E297">
        <v>7014</v>
      </c>
      <c r="F297">
        <v>10110</v>
      </c>
      <c r="G297" t="s">
        <v>10</v>
      </c>
      <c r="H297" t="str">
        <f>TEXT(CleanData[[#This Row],[Date]],"mmm")</f>
        <v>Mar</v>
      </c>
      <c r="I297">
        <f>WEEKNUM(CleanData[[#This Row],[Date]])</f>
        <v>11</v>
      </c>
      <c r="J297">
        <f>IF(CleanData[[#This Row],[Revenue]]&gt;=CleanData[[#This Row],[Target]],1,0)</f>
        <v>0</v>
      </c>
      <c r="K297">
        <f>IF(CleanData[[#This Row],[Attendance_Status]]="Present",1,0)</f>
        <v>1</v>
      </c>
    </row>
    <row r="298" spans="1:11" x14ac:dyDescent="0.3">
      <c r="A298" t="s">
        <v>98</v>
      </c>
      <c r="B298" t="s">
        <v>48</v>
      </c>
      <c r="C298" t="s">
        <v>13</v>
      </c>
      <c r="D298">
        <v>24</v>
      </c>
      <c r="E298">
        <v>20202</v>
      </c>
      <c r="F298">
        <v>13191</v>
      </c>
      <c r="G298" t="s">
        <v>10</v>
      </c>
      <c r="H298" t="str">
        <f>TEXT(CleanData[[#This Row],[Date]],"mmm")</f>
        <v>Mar</v>
      </c>
      <c r="I298">
        <f>WEEKNUM(CleanData[[#This Row],[Date]])</f>
        <v>10</v>
      </c>
      <c r="J298">
        <f>IF(CleanData[[#This Row],[Revenue]]&gt;=CleanData[[#This Row],[Target]],1,0)</f>
        <v>1</v>
      </c>
      <c r="K298">
        <f>IF(CleanData[[#This Row],[Attendance_Status]]="Present",1,0)</f>
        <v>1</v>
      </c>
    </row>
    <row r="299" spans="1:11" x14ac:dyDescent="0.3">
      <c r="A299" t="s">
        <v>144</v>
      </c>
      <c r="B299" t="s">
        <v>69</v>
      </c>
      <c r="C299" t="s">
        <v>9</v>
      </c>
      <c r="D299">
        <v>21</v>
      </c>
      <c r="E299">
        <v>24124</v>
      </c>
      <c r="F299">
        <v>24104</v>
      </c>
      <c r="G299" t="s">
        <v>10</v>
      </c>
      <c r="H299" t="str">
        <f>TEXT(CleanData[[#This Row],[Date]],"mmm")</f>
        <v>Jan</v>
      </c>
      <c r="I299">
        <f>WEEKNUM(CleanData[[#This Row],[Date]])</f>
        <v>1</v>
      </c>
      <c r="J299">
        <f>IF(CleanData[[#This Row],[Revenue]]&gt;=CleanData[[#This Row],[Target]],1,0)</f>
        <v>1</v>
      </c>
      <c r="K299">
        <f>IF(CleanData[[#This Row],[Attendance_Status]]="Present",1,0)</f>
        <v>1</v>
      </c>
    </row>
    <row r="300" spans="1:11" x14ac:dyDescent="0.3">
      <c r="A300" t="s">
        <v>190</v>
      </c>
      <c r="B300" t="s">
        <v>52</v>
      </c>
      <c r="C300" t="s">
        <v>22</v>
      </c>
      <c r="D300">
        <v>25</v>
      </c>
      <c r="E300">
        <v>25667</v>
      </c>
      <c r="F300">
        <v>11670</v>
      </c>
      <c r="G300" t="s">
        <v>10</v>
      </c>
      <c r="H300" t="str">
        <f>TEXT(CleanData[[#This Row],[Date]],"mmm")</f>
        <v>Feb</v>
      </c>
      <c r="I300">
        <f>WEEKNUM(CleanData[[#This Row],[Date]])</f>
        <v>6</v>
      </c>
      <c r="J300">
        <f>IF(CleanData[[#This Row],[Revenue]]&gt;=CleanData[[#This Row],[Target]],1,0)</f>
        <v>1</v>
      </c>
      <c r="K300">
        <f>IF(CleanData[[#This Row],[Attendance_Status]]="Present",1,0)</f>
        <v>1</v>
      </c>
    </row>
    <row r="301" spans="1:11" x14ac:dyDescent="0.3">
      <c r="A301" t="s">
        <v>125</v>
      </c>
      <c r="B301" t="s">
        <v>46</v>
      </c>
      <c r="C301" t="s">
        <v>22</v>
      </c>
      <c r="D301">
        <v>10</v>
      </c>
      <c r="E301">
        <v>27214</v>
      </c>
      <c r="F301">
        <v>22393</v>
      </c>
      <c r="G301" t="s">
        <v>10</v>
      </c>
      <c r="H301" t="str">
        <f>TEXT(CleanData[[#This Row],[Date]],"mmm")</f>
        <v>Jun</v>
      </c>
      <c r="I301">
        <f>WEEKNUM(CleanData[[#This Row],[Date]])</f>
        <v>26</v>
      </c>
      <c r="J301">
        <f>IF(CleanData[[#This Row],[Revenue]]&gt;=CleanData[[#This Row],[Target]],1,0)</f>
        <v>1</v>
      </c>
      <c r="K301">
        <f>IF(CleanData[[#This Row],[Attendance_Status]]="Present",1,0)</f>
        <v>1</v>
      </c>
    </row>
    <row r="302" spans="1:11" x14ac:dyDescent="0.3">
      <c r="A302" t="s">
        <v>191</v>
      </c>
      <c r="B302" t="s">
        <v>37</v>
      </c>
      <c r="C302" t="s">
        <v>22</v>
      </c>
      <c r="D302">
        <v>16</v>
      </c>
      <c r="E302">
        <v>11951</v>
      </c>
      <c r="F302">
        <v>24652</v>
      </c>
      <c r="G302" t="s">
        <v>10</v>
      </c>
      <c r="H302" t="str">
        <f>TEXT(CleanData[[#This Row],[Date]],"mmm")</f>
        <v>Mar</v>
      </c>
      <c r="I302">
        <f>WEEKNUM(CleanData[[#This Row],[Date]])</f>
        <v>9</v>
      </c>
      <c r="J302">
        <f>IF(CleanData[[#This Row],[Revenue]]&gt;=CleanData[[#This Row],[Target]],1,0)</f>
        <v>0</v>
      </c>
      <c r="K302">
        <f>IF(CleanData[[#This Row],[Attendance_Status]]="Present",1,0)</f>
        <v>1</v>
      </c>
    </row>
    <row r="303" spans="1:11" x14ac:dyDescent="0.3">
      <c r="A303" t="s">
        <v>192</v>
      </c>
      <c r="B303" t="s">
        <v>64</v>
      </c>
      <c r="C303" t="s">
        <v>13</v>
      </c>
      <c r="D303">
        <v>13</v>
      </c>
      <c r="E303">
        <v>6913</v>
      </c>
      <c r="F303">
        <v>12659</v>
      </c>
      <c r="G303" t="s">
        <v>10</v>
      </c>
      <c r="H303" t="str">
        <f>TEXT(CleanData[[#This Row],[Date]],"mmm")</f>
        <v>Jan</v>
      </c>
      <c r="I303">
        <f>WEEKNUM(CleanData[[#This Row],[Date]])</f>
        <v>3</v>
      </c>
      <c r="J303">
        <f>IF(CleanData[[#This Row],[Revenue]]&gt;=CleanData[[#This Row],[Target]],1,0)</f>
        <v>0</v>
      </c>
      <c r="K303">
        <f>IF(CleanData[[#This Row],[Attendance_Status]]="Present",1,0)</f>
        <v>1</v>
      </c>
    </row>
    <row r="304" spans="1:11" x14ac:dyDescent="0.3">
      <c r="A304" t="s">
        <v>109</v>
      </c>
      <c r="B304" t="s">
        <v>120</v>
      </c>
      <c r="C304" t="s">
        <v>9</v>
      </c>
      <c r="D304">
        <v>24</v>
      </c>
      <c r="E304">
        <v>28279</v>
      </c>
      <c r="F304">
        <v>20824</v>
      </c>
      <c r="G304" t="s">
        <v>10</v>
      </c>
      <c r="H304" t="str">
        <f>TEXT(CleanData[[#This Row],[Date]],"mmm")</f>
        <v>Mar</v>
      </c>
      <c r="I304">
        <f>WEEKNUM(CleanData[[#This Row],[Date]])</f>
        <v>10</v>
      </c>
      <c r="J304">
        <f>IF(CleanData[[#This Row],[Revenue]]&gt;=CleanData[[#This Row],[Target]],1,0)</f>
        <v>1</v>
      </c>
      <c r="K304">
        <f>IF(CleanData[[#This Row],[Attendance_Status]]="Present",1,0)</f>
        <v>1</v>
      </c>
    </row>
    <row r="305" spans="1:11" x14ac:dyDescent="0.3">
      <c r="A305" t="s">
        <v>24</v>
      </c>
      <c r="B305" t="s">
        <v>75</v>
      </c>
      <c r="C305" t="s">
        <v>9</v>
      </c>
      <c r="D305">
        <v>24</v>
      </c>
      <c r="E305">
        <v>6719</v>
      </c>
      <c r="F305">
        <v>12336</v>
      </c>
      <c r="G305" t="s">
        <v>26</v>
      </c>
      <c r="H305" t="str">
        <f>TEXT(CleanData[[#This Row],[Date]],"mmm")</f>
        <v>May</v>
      </c>
      <c r="I305">
        <f>WEEKNUM(CleanData[[#This Row],[Date]])</f>
        <v>20</v>
      </c>
      <c r="J305">
        <f>IF(CleanData[[#This Row],[Revenue]]&gt;=CleanData[[#This Row],[Target]],1,0)</f>
        <v>0</v>
      </c>
      <c r="K305">
        <f>IF(CleanData[[#This Row],[Attendance_Status]]="Present",1,0)</f>
        <v>0</v>
      </c>
    </row>
    <row r="306" spans="1:11" x14ac:dyDescent="0.3">
      <c r="A306" t="s">
        <v>128</v>
      </c>
      <c r="B306" t="s">
        <v>92</v>
      </c>
      <c r="C306" t="s">
        <v>13</v>
      </c>
      <c r="D306">
        <v>22</v>
      </c>
      <c r="E306">
        <v>25993</v>
      </c>
      <c r="F306">
        <v>15588</v>
      </c>
      <c r="G306" t="s">
        <v>10</v>
      </c>
      <c r="H306" t="str">
        <f>TEXT(CleanData[[#This Row],[Date]],"mmm")</f>
        <v>Jan</v>
      </c>
      <c r="I306">
        <f>WEEKNUM(CleanData[[#This Row],[Date]])</f>
        <v>4</v>
      </c>
      <c r="J306">
        <f>IF(CleanData[[#This Row],[Revenue]]&gt;=CleanData[[#This Row],[Target]],1,0)</f>
        <v>1</v>
      </c>
      <c r="K306">
        <f>IF(CleanData[[#This Row],[Attendance_Status]]="Present",1,0)</f>
        <v>1</v>
      </c>
    </row>
    <row r="307" spans="1:11" x14ac:dyDescent="0.3">
      <c r="A307" t="s">
        <v>157</v>
      </c>
      <c r="B307" t="s">
        <v>17</v>
      </c>
      <c r="C307" t="s">
        <v>9</v>
      </c>
      <c r="D307">
        <v>20</v>
      </c>
      <c r="E307">
        <v>7977</v>
      </c>
      <c r="F307">
        <v>23647</v>
      </c>
      <c r="G307" t="s">
        <v>10</v>
      </c>
      <c r="H307" t="str">
        <f>TEXT(CleanData[[#This Row],[Date]],"mmm")</f>
        <v>Jan</v>
      </c>
      <c r="I307">
        <f>WEEKNUM(CleanData[[#This Row],[Date]])</f>
        <v>3</v>
      </c>
      <c r="J307">
        <f>IF(CleanData[[#This Row],[Revenue]]&gt;=CleanData[[#This Row],[Target]],1,0)</f>
        <v>0</v>
      </c>
      <c r="K307">
        <f>IF(CleanData[[#This Row],[Attendance_Status]]="Present",1,0)</f>
        <v>1</v>
      </c>
    </row>
    <row r="308" spans="1:11" x14ac:dyDescent="0.3">
      <c r="A308" t="s">
        <v>41</v>
      </c>
      <c r="B308" t="s">
        <v>75</v>
      </c>
      <c r="C308" t="s">
        <v>13</v>
      </c>
      <c r="D308">
        <v>7</v>
      </c>
      <c r="E308">
        <v>20678</v>
      </c>
      <c r="F308">
        <v>20175</v>
      </c>
      <c r="G308" t="s">
        <v>26</v>
      </c>
      <c r="H308" t="str">
        <f>TEXT(CleanData[[#This Row],[Date]],"mmm")</f>
        <v>Jun</v>
      </c>
      <c r="I308">
        <f>WEEKNUM(CleanData[[#This Row],[Date]])</f>
        <v>26</v>
      </c>
      <c r="J308">
        <f>IF(CleanData[[#This Row],[Revenue]]&gt;=CleanData[[#This Row],[Target]],1,0)</f>
        <v>1</v>
      </c>
      <c r="K308">
        <f>IF(CleanData[[#This Row],[Attendance_Status]]="Present",1,0)</f>
        <v>0</v>
      </c>
    </row>
    <row r="309" spans="1:11" x14ac:dyDescent="0.3">
      <c r="A309" t="s">
        <v>7</v>
      </c>
      <c r="B309" t="s">
        <v>12</v>
      </c>
      <c r="C309" t="s">
        <v>9</v>
      </c>
      <c r="D309">
        <v>9</v>
      </c>
      <c r="E309">
        <v>25660</v>
      </c>
      <c r="F309">
        <v>10022</v>
      </c>
      <c r="G309" t="s">
        <v>10</v>
      </c>
      <c r="H309" t="str">
        <f>TEXT(CleanData[[#This Row],[Date]],"mmm")</f>
        <v>May</v>
      </c>
      <c r="I309">
        <f>WEEKNUM(CleanData[[#This Row],[Date]])</f>
        <v>20</v>
      </c>
      <c r="J309">
        <f>IF(CleanData[[#This Row],[Revenue]]&gt;=CleanData[[#This Row],[Target]],1,0)</f>
        <v>1</v>
      </c>
      <c r="K309">
        <f>IF(CleanData[[#This Row],[Attendance_Status]]="Present",1,0)</f>
        <v>1</v>
      </c>
    </row>
    <row r="310" spans="1:11" x14ac:dyDescent="0.3">
      <c r="A310" t="s">
        <v>163</v>
      </c>
      <c r="B310" t="s">
        <v>27</v>
      </c>
      <c r="C310" t="s">
        <v>9</v>
      </c>
      <c r="D310">
        <v>24</v>
      </c>
      <c r="E310">
        <v>10479</v>
      </c>
      <c r="F310">
        <v>15312</v>
      </c>
      <c r="G310" t="s">
        <v>10</v>
      </c>
      <c r="H310" t="str">
        <f>TEXT(CleanData[[#This Row],[Date]],"mmm")</f>
        <v>Jan</v>
      </c>
      <c r="I310">
        <f>WEEKNUM(CleanData[[#This Row],[Date]])</f>
        <v>2</v>
      </c>
      <c r="J310">
        <f>IF(CleanData[[#This Row],[Revenue]]&gt;=CleanData[[#This Row],[Target]],1,0)</f>
        <v>0</v>
      </c>
      <c r="K310">
        <f>IF(CleanData[[#This Row],[Attendance_Status]]="Present",1,0)</f>
        <v>1</v>
      </c>
    </row>
    <row r="311" spans="1:11" x14ac:dyDescent="0.3">
      <c r="A311" t="s">
        <v>68</v>
      </c>
      <c r="B311" t="s">
        <v>67</v>
      </c>
      <c r="C311" t="s">
        <v>22</v>
      </c>
      <c r="D311">
        <v>25</v>
      </c>
      <c r="E311">
        <v>12304</v>
      </c>
      <c r="F311">
        <v>23982</v>
      </c>
      <c r="G311" t="s">
        <v>10</v>
      </c>
      <c r="H311" t="str">
        <f>TEXT(CleanData[[#This Row],[Date]],"mmm")</f>
        <v>Jun</v>
      </c>
      <c r="I311">
        <f>WEEKNUM(CleanData[[#This Row],[Date]])</f>
        <v>25</v>
      </c>
      <c r="J311">
        <f>IF(CleanData[[#This Row],[Revenue]]&gt;=CleanData[[#This Row],[Target]],1,0)</f>
        <v>0</v>
      </c>
      <c r="K311">
        <f>IF(CleanData[[#This Row],[Attendance_Status]]="Present",1,0)</f>
        <v>1</v>
      </c>
    </row>
    <row r="312" spans="1:11" x14ac:dyDescent="0.3">
      <c r="A312" t="s">
        <v>193</v>
      </c>
      <c r="B312" t="s">
        <v>52</v>
      </c>
      <c r="C312" t="s">
        <v>22</v>
      </c>
      <c r="D312">
        <v>17</v>
      </c>
      <c r="E312">
        <v>23293</v>
      </c>
      <c r="F312">
        <v>16208</v>
      </c>
      <c r="G312" t="s">
        <v>10</v>
      </c>
      <c r="H312" t="str">
        <f>TEXT(CleanData[[#This Row],[Date]],"mmm")</f>
        <v>May</v>
      </c>
      <c r="I312">
        <f>WEEKNUM(CleanData[[#This Row],[Date]])</f>
        <v>22</v>
      </c>
      <c r="J312">
        <f>IF(CleanData[[#This Row],[Revenue]]&gt;=CleanData[[#This Row],[Target]],1,0)</f>
        <v>1</v>
      </c>
      <c r="K312">
        <f>IF(CleanData[[#This Row],[Attendance_Status]]="Present",1,0)</f>
        <v>1</v>
      </c>
    </row>
    <row r="313" spans="1:11" x14ac:dyDescent="0.3">
      <c r="A313" t="s">
        <v>74</v>
      </c>
      <c r="B313" t="s">
        <v>79</v>
      </c>
      <c r="C313" t="s">
        <v>22</v>
      </c>
      <c r="D313">
        <v>9</v>
      </c>
      <c r="E313">
        <v>5299</v>
      </c>
      <c r="F313">
        <v>21941</v>
      </c>
      <c r="G313" t="s">
        <v>10</v>
      </c>
      <c r="H313" t="str">
        <f>TEXT(CleanData[[#This Row],[Date]],"mmm")</f>
        <v>Jun</v>
      </c>
      <c r="I313">
        <f>WEEKNUM(CleanData[[#This Row],[Date]])</f>
        <v>26</v>
      </c>
      <c r="J313">
        <f>IF(CleanData[[#This Row],[Revenue]]&gt;=CleanData[[#This Row],[Target]],1,0)</f>
        <v>0</v>
      </c>
      <c r="K313">
        <f>IF(CleanData[[#This Row],[Attendance_Status]]="Present",1,0)</f>
        <v>1</v>
      </c>
    </row>
    <row r="314" spans="1:11" x14ac:dyDescent="0.3">
      <c r="A314" t="s">
        <v>47</v>
      </c>
      <c r="B314" t="s">
        <v>101</v>
      </c>
      <c r="C314" t="s">
        <v>22</v>
      </c>
      <c r="D314">
        <v>10</v>
      </c>
      <c r="E314">
        <v>14262</v>
      </c>
      <c r="F314">
        <v>18346</v>
      </c>
      <c r="G314" t="s">
        <v>10</v>
      </c>
      <c r="H314" t="str">
        <f>TEXT(CleanData[[#This Row],[Date]],"mmm")</f>
        <v>May</v>
      </c>
      <c r="I314">
        <f>WEEKNUM(CleanData[[#This Row],[Date]])</f>
        <v>22</v>
      </c>
      <c r="J314">
        <f>IF(CleanData[[#This Row],[Revenue]]&gt;=CleanData[[#This Row],[Target]],1,0)</f>
        <v>0</v>
      </c>
      <c r="K314">
        <f>IF(CleanData[[#This Row],[Attendance_Status]]="Present",1,0)</f>
        <v>1</v>
      </c>
    </row>
    <row r="315" spans="1:11" x14ac:dyDescent="0.3">
      <c r="A315" t="s">
        <v>131</v>
      </c>
      <c r="B315" t="s">
        <v>35</v>
      </c>
      <c r="C315" t="s">
        <v>22</v>
      </c>
      <c r="D315">
        <v>5</v>
      </c>
      <c r="E315">
        <v>7680</v>
      </c>
      <c r="F315">
        <v>21003</v>
      </c>
      <c r="G315" t="s">
        <v>10</v>
      </c>
      <c r="H315" t="str">
        <f>TEXT(CleanData[[#This Row],[Date]],"mmm")</f>
        <v>Feb</v>
      </c>
      <c r="I315">
        <f>WEEKNUM(CleanData[[#This Row],[Date]])</f>
        <v>6</v>
      </c>
      <c r="J315">
        <f>IF(CleanData[[#This Row],[Revenue]]&gt;=CleanData[[#This Row],[Target]],1,0)</f>
        <v>0</v>
      </c>
      <c r="K315">
        <f>IF(CleanData[[#This Row],[Attendance_Status]]="Present",1,0)</f>
        <v>1</v>
      </c>
    </row>
    <row r="316" spans="1:11" x14ac:dyDescent="0.3">
      <c r="A316" t="s">
        <v>183</v>
      </c>
      <c r="B316" t="s">
        <v>52</v>
      </c>
      <c r="C316" t="s">
        <v>9</v>
      </c>
      <c r="D316">
        <v>25</v>
      </c>
      <c r="E316">
        <v>18641</v>
      </c>
      <c r="F316">
        <v>20905</v>
      </c>
      <c r="G316" t="s">
        <v>10</v>
      </c>
      <c r="H316" t="str">
        <f>TEXT(CleanData[[#This Row],[Date]],"mmm")</f>
        <v>Mar</v>
      </c>
      <c r="I316">
        <f>WEEKNUM(CleanData[[#This Row],[Date]])</f>
        <v>10</v>
      </c>
      <c r="J316">
        <f>IF(CleanData[[#This Row],[Revenue]]&gt;=CleanData[[#This Row],[Target]],1,0)</f>
        <v>0</v>
      </c>
      <c r="K316">
        <f>IF(CleanData[[#This Row],[Attendance_Status]]="Present",1,0)</f>
        <v>1</v>
      </c>
    </row>
    <row r="317" spans="1:11" x14ac:dyDescent="0.3">
      <c r="A317" t="s">
        <v>89</v>
      </c>
      <c r="B317" t="s">
        <v>42</v>
      </c>
      <c r="C317" t="s">
        <v>9</v>
      </c>
      <c r="D317">
        <v>17</v>
      </c>
      <c r="E317">
        <v>23077</v>
      </c>
      <c r="F317">
        <v>16649</v>
      </c>
      <c r="G317" t="s">
        <v>10</v>
      </c>
      <c r="H317" t="str">
        <f>TEXT(CleanData[[#This Row],[Date]],"mmm")</f>
        <v>Jun</v>
      </c>
      <c r="I317">
        <f>WEEKNUM(CleanData[[#This Row],[Date]])</f>
        <v>23</v>
      </c>
      <c r="J317">
        <f>IF(CleanData[[#This Row],[Revenue]]&gt;=CleanData[[#This Row],[Target]],1,0)</f>
        <v>1</v>
      </c>
      <c r="K317">
        <f>IF(CleanData[[#This Row],[Attendance_Status]]="Present",1,0)</f>
        <v>1</v>
      </c>
    </row>
    <row r="318" spans="1:11" x14ac:dyDescent="0.3">
      <c r="A318" t="s">
        <v>38</v>
      </c>
      <c r="B318" t="s">
        <v>75</v>
      </c>
      <c r="C318" t="s">
        <v>13</v>
      </c>
      <c r="D318">
        <v>9</v>
      </c>
      <c r="E318">
        <v>15365</v>
      </c>
      <c r="F318">
        <v>11745</v>
      </c>
      <c r="G318" t="s">
        <v>10</v>
      </c>
      <c r="H318" t="str">
        <f>TEXT(CleanData[[#This Row],[Date]],"mmm")</f>
        <v>Jan</v>
      </c>
      <c r="I318">
        <f>WEEKNUM(CleanData[[#This Row],[Date]])</f>
        <v>3</v>
      </c>
      <c r="J318">
        <f>IF(CleanData[[#This Row],[Revenue]]&gt;=CleanData[[#This Row],[Target]],1,0)</f>
        <v>1</v>
      </c>
      <c r="K318">
        <f>IF(CleanData[[#This Row],[Attendance_Status]]="Present",1,0)</f>
        <v>1</v>
      </c>
    </row>
    <row r="319" spans="1:11" x14ac:dyDescent="0.3">
      <c r="A319" t="s">
        <v>184</v>
      </c>
      <c r="B319" t="s">
        <v>120</v>
      </c>
      <c r="C319" t="s">
        <v>9</v>
      </c>
      <c r="D319">
        <v>13</v>
      </c>
      <c r="E319">
        <v>12518</v>
      </c>
      <c r="F319">
        <v>14372</v>
      </c>
      <c r="G319" t="s">
        <v>26</v>
      </c>
      <c r="H319" t="str">
        <f>TEXT(CleanData[[#This Row],[Date]],"mmm")</f>
        <v>Apr</v>
      </c>
      <c r="I319">
        <f>WEEKNUM(CleanData[[#This Row],[Date]])</f>
        <v>17</v>
      </c>
      <c r="J319">
        <f>IF(CleanData[[#This Row],[Revenue]]&gt;=CleanData[[#This Row],[Target]],1,0)</f>
        <v>0</v>
      </c>
      <c r="K319">
        <f>IF(CleanData[[#This Row],[Attendance_Status]]="Present",1,0)</f>
        <v>0</v>
      </c>
    </row>
    <row r="320" spans="1:11" x14ac:dyDescent="0.3">
      <c r="A320" t="s">
        <v>176</v>
      </c>
      <c r="B320" t="s">
        <v>101</v>
      </c>
      <c r="C320" t="s">
        <v>22</v>
      </c>
      <c r="D320">
        <v>6</v>
      </c>
      <c r="E320">
        <v>6066</v>
      </c>
      <c r="F320">
        <v>12849</v>
      </c>
      <c r="G320" t="s">
        <v>10</v>
      </c>
      <c r="H320" t="str">
        <f>TEXT(CleanData[[#This Row],[Date]],"mmm")</f>
        <v>Mar</v>
      </c>
      <c r="I320">
        <f>WEEKNUM(CleanData[[#This Row],[Date]])</f>
        <v>13</v>
      </c>
      <c r="J320">
        <f>IF(CleanData[[#This Row],[Revenue]]&gt;=CleanData[[#This Row],[Target]],1,0)</f>
        <v>0</v>
      </c>
      <c r="K320">
        <f>IF(CleanData[[#This Row],[Attendance_Status]]="Present",1,0)</f>
        <v>1</v>
      </c>
    </row>
    <row r="321" spans="1:11" x14ac:dyDescent="0.3">
      <c r="A321" t="s">
        <v>194</v>
      </c>
      <c r="B321" t="s">
        <v>31</v>
      </c>
      <c r="C321" t="s">
        <v>22</v>
      </c>
      <c r="D321">
        <v>18</v>
      </c>
      <c r="E321">
        <v>6496</v>
      </c>
      <c r="F321">
        <v>17434</v>
      </c>
      <c r="G321" t="s">
        <v>26</v>
      </c>
      <c r="H321" t="str">
        <f>TEXT(CleanData[[#This Row],[Date]],"mmm")</f>
        <v>Jan</v>
      </c>
      <c r="I321">
        <f>WEEKNUM(CleanData[[#This Row],[Date]])</f>
        <v>5</v>
      </c>
      <c r="J321">
        <f>IF(CleanData[[#This Row],[Revenue]]&gt;=CleanData[[#This Row],[Target]],1,0)</f>
        <v>0</v>
      </c>
      <c r="K321">
        <f>IF(CleanData[[#This Row],[Attendance_Status]]="Present",1,0)</f>
        <v>0</v>
      </c>
    </row>
    <row r="322" spans="1:11" x14ac:dyDescent="0.3">
      <c r="A322" t="s">
        <v>178</v>
      </c>
      <c r="B322" t="s">
        <v>56</v>
      </c>
      <c r="C322" t="s">
        <v>13</v>
      </c>
      <c r="D322">
        <v>20</v>
      </c>
      <c r="E322">
        <v>15418</v>
      </c>
      <c r="F322">
        <v>13208</v>
      </c>
      <c r="G322" t="s">
        <v>10</v>
      </c>
      <c r="H322" t="str">
        <f>TEXT(CleanData[[#This Row],[Date]],"mmm")</f>
        <v>Feb</v>
      </c>
      <c r="I322">
        <f>WEEKNUM(CleanData[[#This Row],[Date]])</f>
        <v>9</v>
      </c>
      <c r="J322">
        <f>IF(CleanData[[#This Row],[Revenue]]&gt;=CleanData[[#This Row],[Target]],1,0)</f>
        <v>1</v>
      </c>
      <c r="K322">
        <f>IF(CleanData[[#This Row],[Attendance_Status]]="Present",1,0)</f>
        <v>1</v>
      </c>
    </row>
    <row r="323" spans="1:11" x14ac:dyDescent="0.3">
      <c r="A323" t="s">
        <v>116</v>
      </c>
      <c r="B323" t="s">
        <v>29</v>
      </c>
      <c r="C323" t="s">
        <v>9</v>
      </c>
      <c r="D323">
        <v>10</v>
      </c>
      <c r="E323">
        <v>26292</v>
      </c>
      <c r="F323">
        <v>17510</v>
      </c>
      <c r="G323" t="s">
        <v>10</v>
      </c>
      <c r="H323" t="str">
        <f>TEXT(CleanData[[#This Row],[Date]],"mmm")</f>
        <v>Jun</v>
      </c>
      <c r="I323">
        <f>WEEKNUM(CleanData[[#This Row],[Date]])</f>
        <v>22</v>
      </c>
      <c r="J323">
        <f>IF(CleanData[[#This Row],[Revenue]]&gt;=CleanData[[#This Row],[Target]],1,0)</f>
        <v>1</v>
      </c>
      <c r="K323">
        <f>IF(CleanData[[#This Row],[Attendance_Status]]="Present",1,0)</f>
        <v>1</v>
      </c>
    </row>
    <row r="324" spans="1:11" x14ac:dyDescent="0.3">
      <c r="A324" t="s">
        <v>190</v>
      </c>
      <c r="B324" t="s">
        <v>17</v>
      </c>
      <c r="C324" t="s">
        <v>13</v>
      </c>
      <c r="D324">
        <v>5</v>
      </c>
      <c r="E324">
        <v>16668</v>
      </c>
      <c r="F324">
        <v>21092</v>
      </c>
      <c r="G324" t="s">
        <v>10</v>
      </c>
      <c r="H324" t="str">
        <f>TEXT(CleanData[[#This Row],[Date]],"mmm")</f>
        <v>Feb</v>
      </c>
      <c r="I324">
        <f>WEEKNUM(CleanData[[#This Row],[Date]])</f>
        <v>6</v>
      </c>
      <c r="J324">
        <f>IF(CleanData[[#This Row],[Revenue]]&gt;=CleanData[[#This Row],[Target]],1,0)</f>
        <v>0</v>
      </c>
      <c r="K324">
        <f>IF(CleanData[[#This Row],[Attendance_Status]]="Present",1,0)</f>
        <v>1</v>
      </c>
    </row>
    <row r="325" spans="1:11" x14ac:dyDescent="0.3">
      <c r="A325" t="s">
        <v>18</v>
      </c>
      <c r="B325" t="s">
        <v>31</v>
      </c>
      <c r="C325" t="s">
        <v>9</v>
      </c>
      <c r="D325">
        <v>5</v>
      </c>
      <c r="E325">
        <v>29794</v>
      </c>
      <c r="F325">
        <v>24218</v>
      </c>
      <c r="G325" t="s">
        <v>10</v>
      </c>
      <c r="H325" t="str">
        <f>TEXT(CleanData[[#This Row],[Date]],"mmm")</f>
        <v>Apr</v>
      </c>
      <c r="I325">
        <f>WEEKNUM(CleanData[[#This Row],[Date]])</f>
        <v>17</v>
      </c>
      <c r="J325">
        <f>IF(CleanData[[#This Row],[Revenue]]&gt;=CleanData[[#This Row],[Target]],1,0)</f>
        <v>1</v>
      </c>
      <c r="K325">
        <f>IF(CleanData[[#This Row],[Attendance_Status]]="Present",1,0)</f>
        <v>1</v>
      </c>
    </row>
    <row r="326" spans="1:11" x14ac:dyDescent="0.3">
      <c r="A326" t="s">
        <v>195</v>
      </c>
      <c r="B326" t="s">
        <v>8</v>
      </c>
      <c r="C326" t="s">
        <v>22</v>
      </c>
      <c r="D326">
        <v>6</v>
      </c>
      <c r="E326">
        <v>16966</v>
      </c>
      <c r="F326">
        <v>18850</v>
      </c>
      <c r="G326" t="s">
        <v>10</v>
      </c>
      <c r="H326" t="str">
        <f>TEXT(CleanData[[#This Row],[Date]],"mmm")</f>
        <v>Feb</v>
      </c>
      <c r="I326">
        <f>WEEKNUM(CleanData[[#This Row],[Date]])</f>
        <v>8</v>
      </c>
      <c r="J326">
        <f>IF(CleanData[[#This Row],[Revenue]]&gt;=CleanData[[#This Row],[Target]],1,0)</f>
        <v>0</v>
      </c>
      <c r="K326">
        <f>IF(CleanData[[#This Row],[Attendance_Status]]="Present",1,0)</f>
        <v>1</v>
      </c>
    </row>
    <row r="327" spans="1:11" x14ac:dyDescent="0.3">
      <c r="A327" t="s">
        <v>118</v>
      </c>
      <c r="B327" t="s">
        <v>54</v>
      </c>
      <c r="C327" t="s">
        <v>9</v>
      </c>
      <c r="D327">
        <v>6</v>
      </c>
      <c r="E327">
        <v>10090</v>
      </c>
      <c r="F327">
        <v>23778</v>
      </c>
      <c r="G327" t="s">
        <v>10</v>
      </c>
      <c r="H327" t="str">
        <f>TEXT(CleanData[[#This Row],[Date]],"mmm")</f>
        <v>Jan</v>
      </c>
      <c r="I327">
        <f>WEEKNUM(CleanData[[#This Row],[Date]])</f>
        <v>4</v>
      </c>
      <c r="J327">
        <f>IF(CleanData[[#This Row],[Revenue]]&gt;=CleanData[[#This Row],[Target]],1,0)</f>
        <v>0</v>
      </c>
      <c r="K327">
        <f>IF(CleanData[[#This Row],[Attendance_Status]]="Present",1,0)</f>
        <v>1</v>
      </c>
    </row>
    <row r="328" spans="1:11" x14ac:dyDescent="0.3">
      <c r="A328" t="s">
        <v>196</v>
      </c>
      <c r="B328" t="s">
        <v>46</v>
      </c>
      <c r="C328" t="s">
        <v>22</v>
      </c>
      <c r="D328">
        <v>20</v>
      </c>
      <c r="E328">
        <v>18412</v>
      </c>
      <c r="F328">
        <v>15959</v>
      </c>
      <c r="G328" t="s">
        <v>10</v>
      </c>
      <c r="H328" t="str">
        <f>TEXT(CleanData[[#This Row],[Date]],"mmm")</f>
        <v>Apr</v>
      </c>
      <c r="I328">
        <f>WEEKNUM(CleanData[[#This Row],[Date]])</f>
        <v>17</v>
      </c>
      <c r="J328">
        <f>IF(CleanData[[#This Row],[Revenue]]&gt;=CleanData[[#This Row],[Target]],1,0)</f>
        <v>1</v>
      </c>
      <c r="K328">
        <f>IF(CleanData[[#This Row],[Attendance_Status]]="Present",1,0)</f>
        <v>1</v>
      </c>
    </row>
    <row r="329" spans="1:11" x14ac:dyDescent="0.3">
      <c r="A329" t="s">
        <v>138</v>
      </c>
      <c r="B329" t="s">
        <v>50</v>
      </c>
      <c r="C329" t="s">
        <v>22</v>
      </c>
      <c r="D329">
        <v>14</v>
      </c>
      <c r="E329">
        <v>9047</v>
      </c>
      <c r="F329">
        <v>13261</v>
      </c>
      <c r="G329" t="s">
        <v>10</v>
      </c>
      <c r="H329" t="str">
        <f>TEXT(CleanData[[#This Row],[Date]],"mmm")</f>
        <v>Apr</v>
      </c>
      <c r="I329">
        <f>WEEKNUM(CleanData[[#This Row],[Date]])</f>
        <v>14</v>
      </c>
      <c r="J329">
        <f>IF(CleanData[[#This Row],[Revenue]]&gt;=CleanData[[#This Row],[Target]],1,0)</f>
        <v>0</v>
      </c>
      <c r="K329">
        <f>IF(CleanData[[#This Row],[Attendance_Status]]="Present",1,0)</f>
        <v>1</v>
      </c>
    </row>
    <row r="330" spans="1:11" x14ac:dyDescent="0.3">
      <c r="A330" t="s">
        <v>125</v>
      </c>
      <c r="B330" t="s">
        <v>42</v>
      </c>
      <c r="C330" t="s">
        <v>13</v>
      </c>
      <c r="D330">
        <v>25</v>
      </c>
      <c r="E330">
        <v>16178</v>
      </c>
      <c r="F330">
        <v>22846</v>
      </c>
      <c r="G330" t="s">
        <v>10</v>
      </c>
      <c r="H330" t="str">
        <f>TEXT(CleanData[[#This Row],[Date]],"mmm")</f>
        <v>Jun</v>
      </c>
      <c r="I330">
        <f>WEEKNUM(CleanData[[#This Row],[Date]])</f>
        <v>26</v>
      </c>
      <c r="J330">
        <f>IF(CleanData[[#This Row],[Revenue]]&gt;=CleanData[[#This Row],[Target]],1,0)</f>
        <v>0</v>
      </c>
      <c r="K330">
        <f>IF(CleanData[[#This Row],[Attendance_Status]]="Present",1,0)</f>
        <v>1</v>
      </c>
    </row>
    <row r="331" spans="1:11" x14ac:dyDescent="0.3">
      <c r="A331" t="s">
        <v>18</v>
      </c>
      <c r="B331" t="s">
        <v>29</v>
      </c>
      <c r="C331" t="s">
        <v>13</v>
      </c>
      <c r="D331">
        <v>17</v>
      </c>
      <c r="E331">
        <v>18351</v>
      </c>
      <c r="F331">
        <v>21604</v>
      </c>
      <c r="G331" t="s">
        <v>10</v>
      </c>
      <c r="H331" t="str">
        <f>TEXT(CleanData[[#This Row],[Date]],"mmm")</f>
        <v>Apr</v>
      </c>
      <c r="I331">
        <f>WEEKNUM(CleanData[[#This Row],[Date]])</f>
        <v>17</v>
      </c>
      <c r="J331">
        <f>IF(CleanData[[#This Row],[Revenue]]&gt;=CleanData[[#This Row],[Target]],1,0)</f>
        <v>0</v>
      </c>
      <c r="K331">
        <f>IF(CleanData[[#This Row],[Attendance_Status]]="Present",1,0)</f>
        <v>1</v>
      </c>
    </row>
    <row r="332" spans="1:11" x14ac:dyDescent="0.3">
      <c r="A332" t="s">
        <v>135</v>
      </c>
      <c r="B332" t="s">
        <v>120</v>
      </c>
      <c r="C332" t="s">
        <v>22</v>
      </c>
      <c r="D332">
        <v>22</v>
      </c>
      <c r="E332">
        <v>21710</v>
      </c>
      <c r="F332">
        <v>15519</v>
      </c>
      <c r="G332" t="s">
        <v>10</v>
      </c>
      <c r="H332" t="str">
        <f>TEXT(CleanData[[#This Row],[Date]],"mmm")</f>
        <v>Feb</v>
      </c>
      <c r="I332">
        <f>WEEKNUM(CleanData[[#This Row],[Date]])</f>
        <v>6</v>
      </c>
      <c r="J332">
        <f>IF(CleanData[[#This Row],[Revenue]]&gt;=CleanData[[#This Row],[Target]],1,0)</f>
        <v>1</v>
      </c>
      <c r="K332">
        <f>IF(CleanData[[#This Row],[Attendance_Status]]="Present",1,0)</f>
        <v>1</v>
      </c>
    </row>
    <row r="333" spans="1:11" x14ac:dyDescent="0.3">
      <c r="A333" t="s">
        <v>83</v>
      </c>
      <c r="B333" t="s">
        <v>37</v>
      </c>
      <c r="C333" t="s">
        <v>13</v>
      </c>
      <c r="D333">
        <v>19</v>
      </c>
      <c r="E333">
        <v>15001</v>
      </c>
      <c r="F333">
        <v>16812</v>
      </c>
      <c r="G333" t="s">
        <v>10</v>
      </c>
      <c r="H333" t="str">
        <f>TEXT(CleanData[[#This Row],[Date]],"mmm")</f>
        <v>Mar</v>
      </c>
      <c r="I333">
        <f>WEEKNUM(CleanData[[#This Row],[Date]])</f>
        <v>10</v>
      </c>
      <c r="J333">
        <f>IF(CleanData[[#This Row],[Revenue]]&gt;=CleanData[[#This Row],[Target]],1,0)</f>
        <v>0</v>
      </c>
      <c r="K333">
        <f>IF(CleanData[[#This Row],[Attendance_Status]]="Present",1,0)</f>
        <v>1</v>
      </c>
    </row>
    <row r="334" spans="1:11" x14ac:dyDescent="0.3">
      <c r="A334" t="s">
        <v>11</v>
      </c>
      <c r="B334" t="s">
        <v>12</v>
      </c>
      <c r="C334" t="s">
        <v>13</v>
      </c>
      <c r="D334">
        <v>10</v>
      </c>
      <c r="E334">
        <v>26588</v>
      </c>
      <c r="F334">
        <v>18755</v>
      </c>
      <c r="G334" t="s">
        <v>10</v>
      </c>
      <c r="H334" t="str">
        <f>TEXT(CleanData[[#This Row],[Date]],"mmm")</f>
        <v>Jun</v>
      </c>
      <c r="I334">
        <f>WEEKNUM(CleanData[[#This Row],[Date]])</f>
        <v>23</v>
      </c>
      <c r="J334">
        <f>IF(CleanData[[#This Row],[Revenue]]&gt;=CleanData[[#This Row],[Target]],1,0)</f>
        <v>1</v>
      </c>
      <c r="K334">
        <f>IF(CleanData[[#This Row],[Attendance_Status]]="Present",1,0)</f>
        <v>1</v>
      </c>
    </row>
    <row r="335" spans="1:11" x14ac:dyDescent="0.3">
      <c r="A335" t="s">
        <v>197</v>
      </c>
      <c r="B335" t="s">
        <v>79</v>
      </c>
      <c r="C335" t="s">
        <v>13</v>
      </c>
      <c r="D335">
        <v>21</v>
      </c>
      <c r="E335">
        <v>20659</v>
      </c>
      <c r="F335">
        <v>13966</v>
      </c>
      <c r="G335" t="s">
        <v>10</v>
      </c>
      <c r="H335" t="str">
        <f>TEXT(CleanData[[#This Row],[Date]],"mmm")</f>
        <v>May</v>
      </c>
      <c r="I335">
        <f>WEEKNUM(CleanData[[#This Row],[Date]])</f>
        <v>21</v>
      </c>
      <c r="J335">
        <f>IF(CleanData[[#This Row],[Revenue]]&gt;=CleanData[[#This Row],[Target]],1,0)</f>
        <v>1</v>
      </c>
      <c r="K335">
        <f>IF(CleanData[[#This Row],[Attendance_Status]]="Present",1,0)</f>
        <v>1</v>
      </c>
    </row>
    <row r="336" spans="1:11" x14ac:dyDescent="0.3">
      <c r="A336" t="s">
        <v>78</v>
      </c>
      <c r="B336" t="s">
        <v>50</v>
      </c>
      <c r="C336" t="s">
        <v>22</v>
      </c>
      <c r="D336">
        <v>24</v>
      </c>
      <c r="E336">
        <v>22434</v>
      </c>
      <c r="F336">
        <v>20055</v>
      </c>
      <c r="G336" t="s">
        <v>10</v>
      </c>
      <c r="H336" t="str">
        <f>TEXT(CleanData[[#This Row],[Date]],"mmm")</f>
        <v>Apr</v>
      </c>
      <c r="I336">
        <f>WEEKNUM(CleanData[[#This Row],[Date]])</f>
        <v>15</v>
      </c>
      <c r="J336">
        <f>IF(CleanData[[#This Row],[Revenue]]&gt;=CleanData[[#This Row],[Target]],1,0)</f>
        <v>1</v>
      </c>
      <c r="K336">
        <f>IF(CleanData[[#This Row],[Attendance_Status]]="Present",1,0)</f>
        <v>1</v>
      </c>
    </row>
    <row r="337" spans="1:11" x14ac:dyDescent="0.3">
      <c r="A337" t="s">
        <v>140</v>
      </c>
      <c r="B337" t="s">
        <v>21</v>
      </c>
      <c r="C337" t="s">
        <v>9</v>
      </c>
      <c r="D337">
        <v>24</v>
      </c>
      <c r="E337">
        <v>14868</v>
      </c>
      <c r="F337">
        <v>13372</v>
      </c>
      <c r="G337" t="s">
        <v>10</v>
      </c>
      <c r="H337" t="str">
        <f>TEXT(CleanData[[#This Row],[Date]],"mmm")</f>
        <v>Apr</v>
      </c>
      <c r="I337">
        <f>WEEKNUM(CleanData[[#This Row],[Date]])</f>
        <v>15</v>
      </c>
      <c r="J337">
        <f>IF(CleanData[[#This Row],[Revenue]]&gt;=CleanData[[#This Row],[Target]],1,0)</f>
        <v>1</v>
      </c>
      <c r="K337">
        <f>IF(CleanData[[#This Row],[Attendance_Status]]="Present",1,0)</f>
        <v>1</v>
      </c>
    </row>
    <row r="338" spans="1:11" x14ac:dyDescent="0.3">
      <c r="A338" t="s">
        <v>38</v>
      </c>
      <c r="B338" t="s">
        <v>37</v>
      </c>
      <c r="C338" t="s">
        <v>22</v>
      </c>
      <c r="D338">
        <v>19</v>
      </c>
      <c r="E338">
        <v>25879</v>
      </c>
      <c r="F338">
        <v>19055</v>
      </c>
      <c r="G338" t="s">
        <v>10</v>
      </c>
      <c r="H338" t="str">
        <f>TEXT(CleanData[[#This Row],[Date]],"mmm")</f>
        <v>Jan</v>
      </c>
      <c r="I338">
        <f>WEEKNUM(CleanData[[#This Row],[Date]])</f>
        <v>3</v>
      </c>
      <c r="J338">
        <f>IF(CleanData[[#This Row],[Revenue]]&gt;=CleanData[[#This Row],[Target]],1,0)</f>
        <v>1</v>
      </c>
      <c r="K338">
        <f>IF(CleanData[[#This Row],[Attendance_Status]]="Present",1,0)</f>
        <v>1</v>
      </c>
    </row>
    <row r="339" spans="1:11" x14ac:dyDescent="0.3">
      <c r="A339" t="s">
        <v>173</v>
      </c>
      <c r="B339" t="s">
        <v>21</v>
      </c>
      <c r="C339" t="s">
        <v>9</v>
      </c>
      <c r="D339">
        <v>14</v>
      </c>
      <c r="E339">
        <v>8380</v>
      </c>
      <c r="F339">
        <v>21013</v>
      </c>
      <c r="G339" t="s">
        <v>10</v>
      </c>
      <c r="H339" t="str">
        <f>TEXT(CleanData[[#This Row],[Date]],"mmm")</f>
        <v>Jun</v>
      </c>
      <c r="I339">
        <f>WEEKNUM(CleanData[[#This Row],[Date]])</f>
        <v>23</v>
      </c>
      <c r="J339">
        <f>IF(CleanData[[#This Row],[Revenue]]&gt;=CleanData[[#This Row],[Target]],1,0)</f>
        <v>0</v>
      </c>
      <c r="K339">
        <f>IF(CleanData[[#This Row],[Attendance_Status]]="Present",1,0)</f>
        <v>1</v>
      </c>
    </row>
    <row r="340" spans="1:11" x14ac:dyDescent="0.3">
      <c r="A340" t="s">
        <v>169</v>
      </c>
      <c r="B340" t="s">
        <v>69</v>
      </c>
      <c r="C340" t="s">
        <v>13</v>
      </c>
      <c r="D340">
        <v>10</v>
      </c>
      <c r="E340">
        <v>9157</v>
      </c>
      <c r="F340">
        <v>11620</v>
      </c>
      <c r="G340" t="s">
        <v>26</v>
      </c>
      <c r="H340" t="str">
        <f>TEXT(CleanData[[#This Row],[Date]],"mmm")</f>
        <v>Jan</v>
      </c>
      <c r="I340">
        <f>WEEKNUM(CleanData[[#This Row],[Date]])</f>
        <v>2</v>
      </c>
      <c r="J340">
        <f>IF(CleanData[[#This Row],[Revenue]]&gt;=CleanData[[#This Row],[Target]],1,0)</f>
        <v>0</v>
      </c>
      <c r="K340">
        <f>IF(CleanData[[#This Row],[Attendance_Status]]="Present",1,0)</f>
        <v>0</v>
      </c>
    </row>
    <row r="341" spans="1:11" x14ac:dyDescent="0.3">
      <c r="A341" t="s">
        <v>124</v>
      </c>
      <c r="B341" t="s">
        <v>64</v>
      </c>
      <c r="C341" t="s">
        <v>13</v>
      </c>
      <c r="D341">
        <v>15</v>
      </c>
      <c r="E341">
        <v>16175</v>
      </c>
      <c r="F341">
        <v>10484</v>
      </c>
      <c r="G341" t="s">
        <v>10</v>
      </c>
      <c r="H341" t="str">
        <f>TEXT(CleanData[[#This Row],[Date]],"mmm")</f>
        <v>Feb</v>
      </c>
      <c r="I341">
        <f>WEEKNUM(CleanData[[#This Row],[Date]])</f>
        <v>7</v>
      </c>
      <c r="J341">
        <f>IF(CleanData[[#This Row],[Revenue]]&gt;=CleanData[[#This Row],[Target]],1,0)</f>
        <v>1</v>
      </c>
      <c r="K341">
        <f>IF(CleanData[[#This Row],[Attendance_Status]]="Present",1,0)</f>
        <v>1</v>
      </c>
    </row>
    <row r="342" spans="1:11" x14ac:dyDescent="0.3">
      <c r="A342" t="s">
        <v>14</v>
      </c>
      <c r="B342" t="s">
        <v>27</v>
      </c>
      <c r="C342" t="s">
        <v>22</v>
      </c>
      <c r="D342">
        <v>14</v>
      </c>
      <c r="E342">
        <v>20008</v>
      </c>
      <c r="F342">
        <v>19931</v>
      </c>
      <c r="G342" t="s">
        <v>10</v>
      </c>
      <c r="H342" t="str">
        <f>TEXT(CleanData[[#This Row],[Date]],"mmm")</f>
        <v>Jun</v>
      </c>
      <c r="I342">
        <f>WEEKNUM(CleanData[[#This Row],[Date]])</f>
        <v>24</v>
      </c>
      <c r="J342">
        <f>IF(CleanData[[#This Row],[Revenue]]&gt;=CleanData[[#This Row],[Target]],1,0)</f>
        <v>1</v>
      </c>
      <c r="K342">
        <f>IF(CleanData[[#This Row],[Attendance_Status]]="Present",1,0)</f>
        <v>1</v>
      </c>
    </row>
    <row r="343" spans="1:11" x14ac:dyDescent="0.3">
      <c r="A343" t="s">
        <v>93</v>
      </c>
      <c r="B343" t="s">
        <v>48</v>
      </c>
      <c r="C343" t="s">
        <v>22</v>
      </c>
      <c r="D343">
        <v>21</v>
      </c>
      <c r="E343">
        <v>21644</v>
      </c>
      <c r="F343">
        <v>22960</v>
      </c>
      <c r="G343" t="s">
        <v>10</v>
      </c>
      <c r="H343" t="str">
        <f>TEXT(CleanData[[#This Row],[Date]],"mmm")</f>
        <v>Mar</v>
      </c>
      <c r="I343">
        <f>WEEKNUM(CleanData[[#This Row],[Date]])</f>
        <v>12</v>
      </c>
      <c r="J343">
        <f>IF(CleanData[[#This Row],[Revenue]]&gt;=CleanData[[#This Row],[Target]],1,0)</f>
        <v>0</v>
      </c>
      <c r="K343">
        <f>IF(CleanData[[#This Row],[Attendance_Status]]="Present",1,0)</f>
        <v>1</v>
      </c>
    </row>
    <row r="344" spans="1:11" x14ac:dyDescent="0.3">
      <c r="A344" t="s">
        <v>185</v>
      </c>
      <c r="B344" t="s">
        <v>69</v>
      </c>
      <c r="C344" t="s">
        <v>22</v>
      </c>
      <c r="D344">
        <v>6</v>
      </c>
      <c r="E344">
        <v>27145</v>
      </c>
      <c r="F344">
        <v>20944</v>
      </c>
      <c r="G344" t="s">
        <v>10</v>
      </c>
      <c r="H344" t="str">
        <f>TEXT(CleanData[[#This Row],[Date]],"mmm")</f>
        <v>Feb</v>
      </c>
      <c r="I344">
        <f>WEEKNUM(CleanData[[#This Row],[Date]])</f>
        <v>8</v>
      </c>
      <c r="J344">
        <f>IF(CleanData[[#This Row],[Revenue]]&gt;=CleanData[[#This Row],[Target]],1,0)</f>
        <v>1</v>
      </c>
      <c r="K344">
        <f>IF(CleanData[[#This Row],[Attendance_Status]]="Present",1,0)</f>
        <v>1</v>
      </c>
    </row>
    <row r="345" spans="1:11" x14ac:dyDescent="0.3">
      <c r="A345" t="s">
        <v>121</v>
      </c>
      <c r="B345" t="s">
        <v>35</v>
      </c>
      <c r="C345" t="s">
        <v>13</v>
      </c>
      <c r="D345">
        <v>16</v>
      </c>
      <c r="E345">
        <v>18673</v>
      </c>
      <c r="F345">
        <v>17759</v>
      </c>
      <c r="G345" t="s">
        <v>10</v>
      </c>
      <c r="H345" t="str">
        <f>TEXT(CleanData[[#This Row],[Date]],"mmm")</f>
        <v>Apr</v>
      </c>
      <c r="I345">
        <f>WEEKNUM(CleanData[[#This Row],[Date]])</f>
        <v>16</v>
      </c>
      <c r="J345">
        <f>IF(CleanData[[#This Row],[Revenue]]&gt;=CleanData[[#This Row],[Target]],1,0)</f>
        <v>1</v>
      </c>
      <c r="K345">
        <f>IF(CleanData[[#This Row],[Attendance_Status]]="Present",1,0)</f>
        <v>1</v>
      </c>
    </row>
    <row r="346" spans="1:11" x14ac:dyDescent="0.3">
      <c r="A346" t="s">
        <v>119</v>
      </c>
      <c r="B346" t="s">
        <v>29</v>
      </c>
      <c r="C346" t="s">
        <v>9</v>
      </c>
      <c r="D346">
        <v>25</v>
      </c>
      <c r="E346">
        <v>10466</v>
      </c>
      <c r="F346">
        <v>13494</v>
      </c>
      <c r="G346" t="s">
        <v>10</v>
      </c>
      <c r="H346" t="str">
        <f>TEXT(CleanData[[#This Row],[Date]],"mmm")</f>
        <v>Jan</v>
      </c>
      <c r="I346">
        <f>WEEKNUM(CleanData[[#This Row],[Date]])</f>
        <v>4</v>
      </c>
      <c r="J346">
        <f>IF(CleanData[[#This Row],[Revenue]]&gt;=CleanData[[#This Row],[Target]],1,0)</f>
        <v>0</v>
      </c>
      <c r="K346">
        <f>IF(CleanData[[#This Row],[Attendance_Status]]="Present",1,0)</f>
        <v>1</v>
      </c>
    </row>
    <row r="347" spans="1:11" x14ac:dyDescent="0.3">
      <c r="A347" t="s">
        <v>110</v>
      </c>
      <c r="B347" t="s">
        <v>37</v>
      </c>
      <c r="C347" t="s">
        <v>9</v>
      </c>
      <c r="D347">
        <v>25</v>
      </c>
      <c r="E347">
        <v>9063</v>
      </c>
      <c r="F347">
        <v>20162</v>
      </c>
      <c r="G347" t="s">
        <v>10</v>
      </c>
      <c r="H347" t="str">
        <f>TEXT(CleanData[[#This Row],[Date]],"mmm")</f>
        <v>Apr</v>
      </c>
      <c r="I347">
        <f>WEEKNUM(CleanData[[#This Row],[Date]])</f>
        <v>15</v>
      </c>
      <c r="J347">
        <f>IF(CleanData[[#This Row],[Revenue]]&gt;=CleanData[[#This Row],[Target]],1,0)</f>
        <v>0</v>
      </c>
      <c r="K347">
        <f>IF(CleanData[[#This Row],[Attendance_Status]]="Present",1,0)</f>
        <v>1</v>
      </c>
    </row>
    <row r="348" spans="1:11" x14ac:dyDescent="0.3">
      <c r="A348" t="s">
        <v>57</v>
      </c>
      <c r="B348" t="s">
        <v>54</v>
      </c>
      <c r="C348" t="s">
        <v>9</v>
      </c>
      <c r="D348">
        <v>18</v>
      </c>
      <c r="E348">
        <v>28896</v>
      </c>
      <c r="F348">
        <v>23228</v>
      </c>
      <c r="G348" t="s">
        <v>10</v>
      </c>
      <c r="H348" t="str">
        <f>TEXT(CleanData[[#This Row],[Date]],"mmm")</f>
        <v>Jun</v>
      </c>
      <c r="I348">
        <f>WEEKNUM(CleanData[[#This Row],[Date]])</f>
        <v>25</v>
      </c>
      <c r="J348">
        <f>IF(CleanData[[#This Row],[Revenue]]&gt;=CleanData[[#This Row],[Target]],1,0)</f>
        <v>1</v>
      </c>
      <c r="K348">
        <f>IF(CleanData[[#This Row],[Attendance_Status]]="Present",1,0)</f>
        <v>1</v>
      </c>
    </row>
    <row r="349" spans="1:11" x14ac:dyDescent="0.3">
      <c r="A349" t="s">
        <v>160</v>
      </c>
      <c r="B349" t="s">
        <v>21</v>
      </c>
      <c r="C349" t="s">
        <v>13</v>
      </c>
      <c r="D349">
        <v>7</v>
      </c>
      <c r="E349">
        <v>14486</v>
      </c>
      <c r="F349">
        <v>15453</v>
      </c>
      <c r="G349" t="s">
        <v>10</v>
      </c>
      <c r="H349" t="str">
        <f>TEXT(CleanData[[#This Row],[Date]],"mmm")</f>
        <v>Feb</v>
      </c>
      <c r="I349">
        <f>WEEKNUM(CleanData[[#This Row],[Date]])</f>
        <v>7</v>
      </c>
      <c r="J349">
        <f>IF(CleanData[[#This Row],[Revenue]]&gt;=CleanData[[#This Row],[Target]],1,0)</f>
        <v>0</v>
      </c>
      <c r="K349">
        <f>IF(CleanData[[#This Row],[Attendance_Status]]="Present",1,0)</f>
        <v>1</v>
      </c>
    </row>
    <row r="350" spans="1:11" x14ac:dyDescent="0.3">
      <c r="A350" t="s">
        <v>169</v>
      </c>
      <c r="B350" t="s">
        <v>79</v>
      </c>
      <c r="C350" t="s">
        <v>13</v>
      </c>
      <c r="D350">
        <v>25</v>
      </c>
      <c r="E350">
        <v>27913</v>
      </c>
      <c r="F350">
        <v>20386</v>
      </c>
      <c r="G350" t="s">
        <v>10</v>
      </c>
      <c r="H350" t="str">
        <f>TEXT(CleanData[[#This Row],[Date]],"mmm")</f>
        <v>Jan</v>
      </c>
      <c r="I350">
        <f>WEEKNUM(CleanData[[#This Row],[Date]])</f>
        <v>2</v>
      </c>
      <c r="J350">
        <f>IF(CleanData[[#This Row],[Revenue]]&gt;=CleanData[[#This Row],[Target]],1,0)</f>
        <v>1</v>
      </c>
      <c r="K350">
        <f>IF(CleanData[[#This Row],[Attendance_Status]]="Present",1,0)</f>
        <v>1</v>
      </c>
    </row>
    <row r="351" spans="1:11" x14ac:dyDescent="0.3">
      <c r="A351" t="s">
        <v>194</v>
      </c>
      <c r="B351" t="s">
        <v>17</v>
      </c>
      <c r="C351" t="s">
        <v>22</v>
      </c>
      <c r="D351">
        <v>20</v>
      </c>
      <c r="E351">
        <v>25442</v>
      </c>
      <c r="F351">
        <v>15638</v>
      </c>
      <c r="G351" t="s">
        <v>10</v>
      </c>
      <c r="H351" t="str">
        <f>TEXT(CleanData[[#This Row],[Date]],"mmm")</f>
        <v>Jan</v>
      </c>
      <c r="I351">
        <f>WEEKNUM(CleanData[[#This Row],[Date]])</f>
        <v>5</v>
      </c>
      <c r="J351">
        <f>IF(CleanData[[#This Row],[Revenue]]&gt;=CleanData[[#This Row],[Target]],1,0)</f>
        <v>1</v>
      </c>
      <c r="K351">
        <f>IF(CleanData[[#This Row],[Attendance_Status]]="Present",1,0)</f>
        <v>1</v>
      </c>
    </row>
    <row r="352" spans="1:11" x14ac:dyDescent="0.3">
      <c r="A352" t="s">
        <v>14</v>
      </c>
      <c r="B352" t="s">
        <v>73</v>
      </c>
      <c r="C352" t="s">
        <v>13</v>
      </c>
      <c r="D352">
        <v>20</v>
      </c>
      <c r="E352">
        <v>16904</v>
      </c>
      <c r="F352">
        <v>23235</v>
      </c>
      <c r="G352" t="s">
        <v>26</v>
      </c>
      <c r="H352" t="str">
        <f>TEXT(CleanData[[#This Row],[Date]],"mmm")</f>
        <v>Jun</v>
      </c>
      <c r="I352">
        <f>WEEKNUM(CleanData[[#This Row],[Date]])</f>
        <v>24</v>
      </c>
      <c r="J352">
        <f>IF(CleanData[[#This Row],[Revenue]]&gt;=CleanData[[#This Row],[Target]],1,0)</f>
        <v>0</v>
      </c>
      <c r="K352">
        <f>IF(CleanData[[#This Row],[Attendance_Status]]="Present",1,0)</f>
        <v>0</v>
      </c>
    </row>
    <row r="353" spans="1:11" x14ac:dyDescent="0.3">
      <c r="A353" t="s">
        <v>160</v>
      </c>
      <c r="B353" t="s">
        <v>75</v>
      </c>
      <c r="C353" t="s">
        <v>22</v>
      </c>
      <c r="D353">
        <v>10</v>
      </c>
      <c r="E353">
        <v>27240</v>
      </c>
      <c r="F353">
        <v>10960</v>
      </c>
      <c r="G353" t="s">
        <v>26</v>
      </c>
      <c r="H353" t="str">
        <f>TEXT(CleanData[[#This Row],[Date]],"mmm")</f>
        <v>Feb</v>
      </c>
      <c r="I353">
        <f>WEEKNUM(CleanData[[#This Row],[Date]])</f>
        <v>7</v>
      </c>
      <c r="J353">
        <f>IF(CleanData[[#This Row],[Revenue]]&gt;=CleanData[[#This Row],[Target]],1,0)</f>
        <v>1</v>
      </c>
      <c r="K353">
        <f>IF(CleanData[[#This Row],[Attendance_Status]]="Present",1,0)</f>
        <v>0</v>
      </c>
    </row>
    <row r="354" spans="1:11" x14ac:dyDescent="0.3">
      <c r="A354" t="s">
        <v>24</v>
      </c>
      <c r="B354" t="s">
        <v>8</v>
      </c>
      <c r="C354" t="s">
        <v>22</v>
      </c>
      <c r="D354">
        <v>20</v>
      </c>
      <c r="E354">
        <v>15633</v>
      </c>
      <c r="F354">
        <v>23133</v>
      </c>
      <c r="G354" t="s">
        <v>10</v>
      </c>
      <c r="H354" t="str">
        <f>TEXT(CleanData[[#This Row],[Date]],"mmm")</f>
        <v>May</v>
      </c>
      <c r="I354">
        <f>WEEKNUM(CleanData[[#This Row],[Date]])</f>
        <v>20</v>
      </c>
      <c r="J354">
        <f>IF(CleanData[[#This Row],[Revenue]]&gt;=CleanData[[#This Row],[Target]],1,0)</f>
        <v>0</v>
      </c>
      <c r="K354">
        <f>IF(CleanData[[#This Row],[Attendance_Status]]="Present",1,0)</f>
        <v>1</v>
      </c>
    </row>
    <row r="355" spans="1:11" x14ac:dyDescent="0.3">
      <c r="A355" t="s">
        <v>18</v>
      </c>
      <c r="B355" t="s">
        <v>35</v>
      </c>
      <c r="C355" t="s">
        <v>13</v>
      </c>
      <c r="D355">
        <v>23</v>
      </c>
      <c r="E355">
        <v>25230</v>
      </c>
      <c r="F355">
        <v>21768</v>
      </c>
      <c r="G355" t="s">
        <v>10</v>
      </c>
      <c r="H355" t="str">
        <f>TEXT(CleanData[[#This Row],[Date]],"mmm")</f>
        <v>Apr</v>
      </c>
      <c r="I355">
        <f>WEEKNUM(CleanData[[#This Row],[Date]])</f>
        <v>17</v>
      </c>
      <c r="J355">
        <f>IF(CleanData[[#This Row],[Revenue]]&gt;=CleanData[[#This Row],[Target]],1,0)</f>
        <v>1</v>
      </c>
      <c r="K355">
        <f>IF(CleanData[[#This Row],[Attendance_Status]]="Present",1,0)</f>
        <v>1</v>
      </c>
    </row>
    <row r="356" spans="1:11" x14ac:dyDescent="0.3">
      <c r="A356" t="s">
        <v>109</v>
      </c>
      <c r="B356" t="s">
        <v>120</v>
      </c>
      <c r="C356" t="s">
        <v>22</v>
      </c>
      <c r="D356">
        <v>11</v>
      </c>
      <c r="E356">
        <v>6272</v>
      </c>
      <c r="F356">
        <v>12865</v>
      </c>
      <c r="G356" t="s">
        <v>10</v>
      </c>
      <c r="H356" t="str">
        <f>TEXT(CleanData[[#This Row],[Date]],"mmm")</f>
        <v>Mar</v>
      </c>
      <c r="I356">
        <f>WEEKNUM(CleanData[[#This Row],[Date]])</f>
        <v>10</v>
      </c>
      <c r="J356">
        <f>IF(CleanData[[#This Row],[Revenue]]&gt;=CleanData[[#This Row],[Target]],1,0)</f>
        <v>0</v>
      </c>
      <c r="K356">
        <f>IF(CleanData[[#This Row],[Attendance_Status]]="Present",1,0)</f>
        <v>1</v>
      </c>
    </row>
    <row r="357" spans="1:11" x14ac:dyDescent="0.3">
      <c r="A357" t="s">
        <v>30</v>
      </c>
      <c r="B357" t="s">
        <v>73</v>
      </c>
      <c r="C357" t="s">
        <v>9</v>
      </c>
      <c r="D357">
        <v>20</v>
      </c>
      <c r="E357">
        <v>13293</v>
      </c>
      <c r="F357">
        <v>10756</v>
      </c>
      <c r="G357" t="s">
        <v>10</v>
      </c>
      <c r="H357" t="str">
        <f>TEXT(CleanData[[#This Row],[Date]],"mmm")</f>
        <v>Mar</v>
      </c>
      <c r="I357">
        <f>WEEKNUM(CleanData[[#This Row],[Date]])</f>
        <v>11</v>
      </c>
      <c r="J357">
        <f>IF(CleanData[[#This Row],[Revenue]]&gt;=CleanData[[#This Row],[Target]],1,0)</f>
        <v>1</v>
      </c>
      <c r="K357">
        <f>IF(CleanData[[#This Row],[Attendance_Status]]="Present",1,0)</f>
        <v>1</v>
      </c>
    </row>
    <row r="358" spans="1:11" x14ac:dyDescent="0.3">
      <c r="A358" t="s">
        <v>188</v>
      </c>
      <c r="B358" t="s">
        <v>50</v>
      </c>
      <c r="C358" t="s">
        <v>22</v>
      </c>
      <c r="D358">
        <v>10</v>
      </c>
      <c r="E358">
        <v>18359</v>
      </c>
      <c r="F358">
        <v>20618</v>
      </c>
      <c r="G358" t="s">
        <v>26</v>
      </c>
      <c r="H358" t="str">
        <f>TEXT(CleanData[[#This Row],[Date]],"mmm")</f>
        <v>May</v>
      </c>
      <c r="I358">
        <f>WEEKNUM(CleanData[[#This Row],[Date]])</f>
        <v>19</v>
      </c>
      <c r="J358">
        <f>IF(CleanData[[#This Row],[Revenue]]&gt;=CleanData[[#This Row],[Target]],1,0)</f>
        <v>0</v>
      </c>
      <c r="K358">
        <f>IF(CleanData[[#This Row],[Attendance_Status]]="Present",1,0)</f>
        <v>0</v>
      </c>
    </row>
    <row r="359" spans="1:11" x14ac:dyDescent="0.3">
      <c r="A359" t="s">
        <v>161</v>
      </c>
      <c r="B359" t="s">
        <v>46</v>
      </c>
      <c r="C359" t="s">
        <v>22</v>
      </c>
      <c r="D359">
        <v>14</v>
      </c>
      <c r="E359">
        <v>17958</v>
      </c>
      <c r="F359">
        <v>23665</v>
      </c>
      <c r="G359" t="s">
        <v>10</v>
      </c>
      <c r="H359" t="str">
        <f>TEXT(CleanData[[#This Row],[Date]],"mmm")</f>
        <v>Mar</v>
      </c>
      <c r="I359">
        <f>WEEKNUM(CleanData[[#This Row],[Date]])</f>
        <v>13</v>
      </c>
      <c r="J359">
        <f>IF(CleanData[[#This Row],[Revenue]]&gt;=CleanData[[#This Row],[Target]],1,0)</f>
        <v>0</v>
      </c>
      <c r="K359">
        <f>IF(CleanData[[#This Row],[Attendance_Status]]="Present",1,0)</f>
        <v>1</v>
      </c>
    </row>
    <row r="360" spans="1:11" x14ac:dyDescent="0.3">
      <c r="A360" t="s">
        <v>198</v>
      </c>
      <c r="B360" t="s">
        <v>25</v>
      </c>
      <c r="C360" t="s">
        <v>9</v>
      </c>
      <c r="D360">
        <v>20</v>
      </c>
      <c r="E360">
        <v>17640</v>
      </c>
      <c r="F360">
        <v>20754</v>
      </c>
      <c r="G360" t="s">
        <v>10</v>
      </c>
      <c r="H360" t="str">
        <f>TEXT(CleanData[[#This Row],[Date]],"mmm")</f>
        <v>May</v>
      </c>
      <c r="I360">
        <f>WEEKNUM(CleanData[[#This Row],[Date]])</f>
        <v>21</v>
      </c>
      <c r="J360">
        <f>IF(CleanData[[#This Row],[Revenue]]&gt;=CleanData[[#This Row],[Target]],1,0)</f>
        <v>0</v>
      </c>
      <c r="K360">
        <f>IF(CleanData[[#This Row],[Attendance_Status]]="Present",1,0)</f>
        <v>1</v>
      </c>
    </row>
    <row r="361" spans="1:11" x14ac:dyDescent="0.3">
      <c r="A361" t="s">
        <v>140</v>
      </c>
      <c r="B361" t="s">
        <v>31</v>
      </c>
      <c r="C361" t="s">
        <v>13</v>
      </c>
      <c r="D361">
        <v>11</v>
      </c>
      <c r="E361">
        <v>19004</v>
      </c>
      <c r="F361">
        <v>22442</v>
      </c>
      <c r="G361" t="s">
        <v>10</v>
      </c>
      <c r="H361" t="str">
        <f>TEXT(CleanData[[#This Row],[Date]],"mmm")</f>
        <v>Apr</v>
      </c>
      <c r="I361">
        <f>WEEKNUM(CleanData[[#This Row],[Date]])</f>
        <v>15</v>
      </c>
      <c r="J361">
        <f>IF(CleanData[[#This Row],[Revenue]]&gt;=CleanData[[#This Row],[Target]],1,0)</f>
        <v>0</v>
      </c>
      <c r="K361">
        <f>IF(CleanData[[#This Row],[Attendance_Status]]="Present",1,0)</f>
        <v>1</v>
      </c>
    </row>
    <row r="362" spans="1:11" x14ac:dyDescent="0.3">
      <c r="A362" t="s">
        <v>59</v>
      </c>
      <c r="B362" t="s">
        <v>50</v>
      </c>
      <c r="C362" t="s">
        <v>13</v>
      </c>
      <c r="D362">
        <v>20</v>
      </c>
      <c r="E362">
        <v>9920</v>
      </c>
      <c r="F362">
        <v>24842</v>
      </c>
      <c r="G362" t="s">
        <v>10</v>
      </c>
      <c r="H362" t="str">
        <f>TEXT(CleanData[[#This Row],[Date]],"mmm")</f>
        <v>Mar</v>
      </c>
      <c r="I362">
        <f>WEEKNUM(CleanData[[#This Row],[Date]])</f>
        <v>12</v>
      </c>
      <c r="J362">
        <f>IF(CleanData[[#This Row],[Revenue]]&gt;=CleanData[[#This Row],[Target]],1,0)</f>
        <v>0</v>
      </c>
      <c r="K362">
        <f>IF(CleanData[[#This Row],[Attendance_Status]]="Present",1,0)</f>
        <v>1</v>
      </c>
    </row>
    <row r="363" spans="1:11" x14ac:dyDescent="0.3">
      <c r="A363" t="s">
        <v>174</v>
      </c>
      <c r="B363" t="s">
        <v>67</v>
      </c>
      <c r="C363" t="s">
        <v>13</v>
      </c>
      <c r="D363">
        <v>6</v>
      </c>
      <c r="E363">
        <v>13632</v>
      </c>
      <c r="F363">
        <v>24985</v>
      </c>
      <c r="G363" t="s">
        <v>10</v>
      </c>
      <c r="H363" t="str">
        <f>TEXT(CleanData[[#This Row],[Date]],"mmm")</f>
        <v>Mar</v>
      </c>
      <c r="I363">
        <f>WEEKNUM(CleanData[[#This Row],[Date]])</f>
        <v>9</v>
      </c>
      <c r="J363">
        <f>IF(CleanData[[#This Row],[Revenue]]&gt;=CleanData[[#This Row],[Target]],1,0)</f>
        <v>0</v>
      </c>
      <c r="K363">
        <f>IF(CleanData[[#This Row],[Attendance_Status]]="Present",1,0)</f>
        <v>1</v>
      </c>
    </row>
    <row r="364" spans="1:11" x14ac:dyDescent="0.3">
      <c r="A364" t="s">
        <v>188</v>
      </c>
      <c r="B364" t="s">
        <v>42</v>
      </c>
      <c r="C364" t="s">
        <v>13</v>
      </c>
      <c r="D364">
        <v>7</v>
      </c>
      <c r="E364">
        <v>20780</v>
      </c>
      <c r="F364">
        <v>21762</v>
      </c>
      <c r="G364" t="s">
        <v>10</v>
      </c>
      <c r="H364" t="str">
        <f>TEXT(CleanData[[#This Row],[Date]],"mmm")</f>
        <v>May</v>
      </c>
      <c r="I364">
        <f>WEEKNUM(CleanData[[#This Row],[Date]])</f>
        <v>19</v>
      </c>
      <c r="J364">
        <f>IF(CleanData[[#This Row],[Revenue]]&gt;=CleanData[[#This Row],[Target]],1,0)</f>
        <v>0</v>
      </c>
      <c r="K364">
        <f>IF(CleanData[[#This Row],[Attendance_Status]]="Present",1,0)</f>
        <v>1</v>
      </c>
    </row>
    <row r="365" spans="1:11" x14ac:dyDescent="0.3">
      <c r="A365" t="s">
        <v>95</v>
      </c>
      <c r="B365" t="s">
        <v>92</v>
      </c>
      <c r="C365" t="s">
        <v>22</v>
      </c>
      <c r="D365">
        <v>20</v>
      </c>
      <c r="E365">
        <v>18555</v>
      </c>
      <c r="F365">
        <v>16278</v>
      </c>
      <c r="G365" t="s">
        <v>10</v>
      </c>
      <c r="H365" t="str">
        <f>TEXT(CleanData[[#This Row],[Date]],"mmm")</f>
        <v>May</v>
      </c>
      <c r="I365">
        <f>WEEKNUM(CleanData[[#This Row],[Date]])</f>
        <v>20</v>
      </c>
      <c r="J365">
        <f>IF(CleanData[[#This Row],[Revenue]]&gt;=CleanData[[#This Row],[Target]],1,0)</f>
        <v>1</v>
      </c>
      <c r="K365">
        <f>IF(CleanData[[#This Row],[Attendance_Status]]="Present",1,0)</f>
        <v>1</v>
      </c>
    </row>
    <row r="366" spans="1:11" x14ac:dyDescent="0.3">
      <c r="A366" t="s">
        <v>148</v>
      </c>
      <c r="B366" t="s">
        <v>64</v>
      </c>
      <c r="C366" t="s">
        <v>22</v>
      </c>
      <c r="D366">
        <v>24</v>
      </c>
      <c r="E366">
        <v>15812</v>
      </c>
      <c r="F366">
        <v>13500</v>
      </c>
      <c r="G366" t="s">
        <v>10</v>
      </c>
      <c r="H366" t="str">
        <f>TEXT(CleanData[[#This Row],[Date]],"mmm")</f>
        <v>Jun</v>
      </c>
      <c r="I366">
        <f>WEEKNUM(CleanData[[#This Row],[Date]])</f>
        <v>23</v>
      </c>
      <c r="J366">
        <f>IF(CleanData[[#This Row],[Revenue]]&gt;=CleanData[[#This Row],[Target]],1,0)</f>
        <v>1</v>
      </c>
      <c r="K366">
        <f>IF(CleanData[[#This Row],[Attendance_Status]]="Present",1,0)</f>
        <v>1</v>
      </c>
    </row>
    <row r="367" spans="1:11" x14ac:dyDescent="0.3">
      <c r="A367" t="s">
        <v>182</v>
      </c>
      <c r="B367" t="s">
        <v>92</v>
      </c>
      <c r="C367" t="s">
        <v>22</v>
      </c>
      <c r="D367">
        <v>15</v>
      </c>
      <c r="E367">
        <v>8008</v>
      </c>
      <c r="F367">
        <v>23438</v>
      </c>
      <c r="G367" t="s">
        <v>10</v>
      </c>
      <c r="H367" t="str">
        <f>TEXT(CleanData[[#This Row],[Date]],"mmm")</f>
        <v>Feb</v>
      </c>
      <c r="I367">
        <f>WEEKNUM(CleanData[[#This Row],[Date]])</f>
        <v>5</v>
      </c>
      <c r="J367">
        <f>IF(CleanData[[#This Row],[Revenue]]&gt;=CleanData[[#This Row],[Target]],1,0)</f>
        <v>0</v>
      </c>
      <c r="K367">
        <f>IF(CleanData[[#This Row],[Attendance_Status]]="Present",1,0)</f>
        <v>1</v>
      </c>
    </row>
    <row r="368" spans="1:11" x14ac:dyDescent="0.3">
      <c r="A368" t="s">
        <v>34</v>
      </c>
      <c r="B368" t="s">
        <v>15</v>
      </c>
      <c r="C368" t="s">
        <v>22</v>
      </c>
      <c r="D368">
        <v>25</v>
      </c>
      <c r="E368">
        <v>23214</v>
      </c>
      <c r="F368">
        <v>22871</v>
      </c>
      <c r="G368" t="s">
        <v>26</v>
      </c>
      <c r="H368" t="str">
        <f>TEXT(CleanData[[#This Row],[Date]],"mmm")</f>
        <v>Jan</v>
      </c>
      <c r="I368">
        <f>WEEKNUM(CleanData[[#This Row],[Date]])</f>
        <v>1</v>
      </c>
      <c r="J368">
        <f>IF(CleanData[[#This Row],[Revenue]]&gt;=CleanData[[#This Row],[Target]],1,0)</f>
        <v>1</v>
      </c>
      <c r="K368">
        <f>IF(CleanData[[#This Row],[Attendance_Status]]="Present",1,0)</f>
        <v>0</v>
      </c>
    </row>
    <row r="369" spans="1:11" x14ac:dyDescent="0.3">
      <c r="A369" t="s">
        <v>145</v>
      </c>
      <c r="B369" t="s">
        <v>33</v>
      </c>
      <c r="C369" t="s">
        <v>9</v>
      </c>
      <c r="D369">
        <v>11</v>
      </c>
      <c r="E369">
        <v>11706</v>
      </c>
      <c r="F369">
        <v>20280</v>
      </c>
      <c r="G369" t="s">
        <v>10</v>
      </c>
      <c r="H369" t="str">
        <f>TEXT(CleanData[[#This Row],[Date]],"mmm")</f>
        <v>Feb</v>
      </c>
      <c r="I369">
        <f>WEEKNUM(CleanData[[#This Row],[Date]])</f>
        <v>7</v>
      </c>
      <c r="J369">
        <f>IF(CleanData[[#This Row],[Revenue]]&gt;=CleanData[[#This Row],[Target]],1,0)</f>
        <v>0</v>
      </c>
      <c r="K369">
        <f>IF(CleanData[[#This Row],[Attendance_Status]]="Present",1,0)</f>
        <v>1</v>
      </c>
    </row>
    <row r="370" spans="1:11" x14ac:dyDescent="0.3">
      <c r="A370" t="s">
        <v>127</v>
      </c>
      <c r="B370" t="s">
        <v>50</v>
      </c>
      <c r="C370" t="s">
        <v>22</v>
      </c>
      <c r="D370">
        <v>5</v>
      </c>
      <c r="E370">
        <v>21841</v>
      </c>
      <c r="F370">
        <v>13788</v>
      </c>
      <c r="G370" t="s">
        <v>10</v>
      </c>
      <c r="H370" t="str">
        <f>TEXT(CleanData[[#This Row],[Date]],"mmm")</f>
        <v>Jun</v>
      </c>
      <c r="I370">
        <f>WEEKNUM(CleanData[[#This Row],[Date]])</f>
        <v>25</v>
      </c>
      <c r="J370">
        <f>IF(CleanData[[#This Row],[Revenue]]&gt;=CleanData[[#This Row],[Target]],1,0)</f>
        <v>1</v>
      </c>
      <c r="K370">
        <f>IF(CleanData[[#This Row],[Attendance_Status]]="Present",1,0)</f>
        <v>1</v>
      </c>
    </row>
    <row r="371" spans="1:11" x14ac:dyDescent="0.3">
      <c r="A371" t="s">
        <v>199</v>
      </c>
      <c r="B371" t="s">
        <v>29</v>
      </c>
      <c r="C371" t="s">
        <v>22</v>
      </c>
      <c r="D371">
        <v>5</v>
      </c>
      <c r="E371">
        <v>19203</v>
      </c>
      <c r="F371">
        <v>18038</v>
      </c>
      <c r="G371" t="s">
        <v>10</v>
      </c>
      <c r="H371" t="str">
        <f>TEXT(CleanData[[#This Row],[Date]],"mmm")</f>
        <v>Mar</v>
      </c>
      <c r="I371">
        <f>WEEKNUM(CleanData[[#This Row],[Date]])</f>
        <v>11</v>
      </c>
      <c r="J371">
        <f>IF(CleanData[[#This Row],[Revenue]]&gt;=CleanData[[#This Row],[Target]],1,0)</f>
        <v>1</v>
      </c>
      <c r="K371">
        <f>IF(CleanData[[#This Row],[Attendance_Status]]="Present",1,0)</f>
        <v>1</v>
      </c>
    </row>
    <row r="372" spans="1:11" x14ac:dyDescent="0.3">
      <c r="A372" t="s">
        <v>200</v>
      </c>
      <c r="B372" t="s">
        <v>27</v>
      </c>
      <c r="C372" t="s">
        <v>22</v>
      </c>
      <c r="D372">
        <v>16</v>
      </c>
      <c r="E372">
        <v>21830</v>
      </c>
      <c r="F372">
        <v>13420</v>
      </c>
      <c r="G372" t="s">
        <v>10</v>
      </c>
      <c r="H372" t="str">
        <f>TEXT(CleanData[[#This Row],[Date]],"mmm")</f>
        <v>May</v>
      </c>
      <c r="I372">
        <f>WEEKNUM(CleanData[[#This Row],[Date]])</f>
        <v>19</v>
      </c>
      <c r="J372">
        <f>IF(CleanData[[#This Row],[Revenue]]&gt;=CleanData[[#This Row],[Target]],1,0)</f>
        <v>1</v>
      </c>
      <c r="K372">
        <f>IF(CleanData[[#This Row],[Attendance_Status]]="Present",1,0)</f>
        <v>1</v>
      </c>
    </row>
    <row r="373" spans="1:11" x14ac:dyDescent="0.3">
      <c r="A373" t="s">
        <v>16</v>
      </c>
      <c r="B373" t="s">
        <v>25</v>
      </c>
      <c r="C373" t="s">
        <v>9</v>
      </c>
      <c r="D373">
        <v>18</v>
      </c>
      <c r="E373">
        <v>21913</v>
      </c>
      <c r="F373">
        <v>13173</v>
      </c>
      <c r="G373" t="s">
        <v>10</v>
      </c>
      <c r="H373" t="str">
        <f>TEXT(CleanData[[#This Row],[Date]],"mmm")</f>
        <v>Mar</v>
      </c>
      <c r="I373">
        <f>WEEKNUM(CleanData[[#This Row],[Date]])</f>
        <v>13</v>
      </c>
      <c r="J373">
        <f>IF(CleanData[[#This Row],[Revenue]]&gt;=CleanData[[#This Row],[Target]],1,0)</f>
        <v>1</v>
      </c>
      <c r="K373">
        <f>IF(CleanData[[#This Row],[Attendance_Status]]="Present",1,0)</f>
        <v>1</v>
      </c>
    </row>
    <row r="374" spans="1:11" x14ac:dyDescent="0.3">
      <c r="A374" t="s">
        <v>195</v>
      </c>
      <c r="B374" t="s">
        <v>120</v>
      </c>
      <c r="C374" t="s">
        <v>13</v>
      </c>
      <c r="D374">
        <v>7</v>
      </c>
      <c r="E374">
        <v>28733</v>
      </c>
      <c r="F374">
        <v>21179</v>
      </c>
      <c r="G374" t="s">
        <v>10</v>
      </c>
      <c r="H374" t="str">
        <f>TEXT(CleanData[[#This Row],[Date]],"mmm")</f>
        <v>Feb</v>
      </c>
      <c r="I374">
        <f>WEEKNUM(CleanData[[#This Row],[Date]])</f>
        <v>8</v>
      </c>
      <c r="J374">
        <f>IF(CleanData[[#This Row],[Revenue]]&gt;=CleanData[[#This Row],[Target]],1,0)</f>
        <v>1</v>
      </c>
      <c r="K374">
        <f>IF(CleanData[[#This Row],[Attendance_Status]]="Present",1,0)</f>
        <v>1</v>
      </c>
    </row>
    <row r="375" spans="1:11" x14ac:dyDescent="0.3">
      <c r="A375" t="s">
        <v>90</v>
      </c>
      <c r="B375" t="s">
        <v>27</v>
      </c>
      <c r="C375" t="s">
        <v>22</v>
      </c>
      <c r="D375">
        <v>23</v>
      </c>
      <c r="E375">
        <v>7179</v>
      </c>
      <c r="F375">
        <v>14679</v>
      </c>
      <c r="G375" t="s">
        <v>10</v>
      </c>
      <c r="H375" t="str">
        <f>TEXT(CleanData[[#This Row],[Date]],"mmm")</f>
        <v>May</v>
      </c>
      <c r="I375">
        <f>WEEKNUM(CleanData[[#This Row],[Date]])</f>
        <v>19</v>
      </c>
      <c r="J375">
        <f>IF(CleanData[[#This Row],[Revenue]]&gt;=CleanData[[#This Row],[Target]],1,0)</f>
        <v>0</v>
      </c>
      <c r="K375">
        <f>IF(CleanData[[#This Row],[Attendance_Status]]="Present",1,0)</f>
        <v>1</v>
      </c>
    </row>
    <row r="376" spans="1:11" x14ac:dyDescent="0.3">
      <c r="A376" t="s">
        <v>87</v>
      </c>
      <c r="B376" t="s">
        <v>12</v>
      </c>
      <c r="C376" t="s">
        <v>13</v>
      </c>
      <c r="D376">
        <v>8</v>
      </c>
      <c r="E376">
        <v>26194</v>
      </c>
      <c r="F376">
        <v>15181</v>
      </c>
      <c r="G376" t="s">
        <v>10</v>
      </c>
      <c r="H376" t="str">
        <f>TEXT(CleanData[[#This Row],[Date]],"mmm")</f>
        <v>May</v>
      </c>
      <c r="I376">
        <f>WEEKNUM(CleanData[[#This Row],[Date]])</f>
        <v>18</v>
      </c>
      <c r="J376">
        <f>IF(CleanData[[#This Row],[Revenue]]&gt;=CleanData[[#This Row],[Target]],1,0)</f>
        <v>1</v>
      </c>
      <c r="K376">
        <f>IF(CleanData[[#This Row],[Attendance_Status]]="Present",1,0)</f>
        <v>1</v>
      </c>
    </row>
    <row r="377" spans="1:11" x14ac:dyDescent="0.3">
      <c r="A377" t="s">
        <v>90</v>
      </c>
      <c r="B377" t="s">
        <v>92</v>
      </c>
      <c r="C377" t="s">
        <v>13</v>
      </c>
      <c r="D377">
        <v>25</v>
      </c>
      <c r="E377">
        <v>28259</v>
      </c>
      <c r="F377">
        <v>17793</v>
      </c>
      <c r="G377" t="s">
        <v>10</v>
      </c>
      <c r="H377" t="str">
        <f>TEXT(CleanData[[#This Row],[Date]],"mmm")</f>
        <v>May</v>
      </c>
      <c r="I377">
        <f>WEEKNUM(CleanData[[#This Row],[Date]])</f>
        <v>19</v>
      </c>
      <c r="J377">
        <f>IF(CleanData[[#This Row],[Revenue]]&gt;=CleanData[[#This Row],[Target]],1,0)</f>
        <v>1</v>
      </c>
      <c r="K377">
        <f>IF(CleanData[[#This Row],[Attendance_Status]]="Present",1,0)</f>
        <v>1</v>
      </c>
    </row>
    <row r="378" spans="1:11" x14ac:dyDescent="0.3">
      <c r="A378" t="s">
        <v>201</v>
      </c>
      <c r="B378" t="s">
        <v>19</v>
      </c>
      <c r="C378" t="s">
        <v>22</v>
      </c>
      <c r="D378">
        <v>12</v>
      </c>
      <c r="E378">
        <v>11856</v>
      </c>
      <c r="F378">
        <v>23088</v>
      </c>
      <c r="G378" t="s">
        <v>26</v>
      </c>
      <c r="H378" t="str">
        <f>TEXT(CleanData[[#This Row],[Date]],"mmm")</f>
        <v>Jan</v>
      </c>
      <c r="I378">
        <f>WEEKNUM(CleanData[[#This Row],[Date]])</f>
        <v>1</v>
      </c>
      <c r="J378">
        <f>IF(CleanData[[#This Row],[Revenue]]&gt;=CleanData[[#This Row],[Target]],1,0)</f>
        <v>0</v>
      </c>
      <c r="K378">
        <f>IF(CleanData[[#This Row],[Attendance_Status]]="Present",1,0)</f>
        <v>0</v>
      </c>
    </row>
    <row r="379" spans="1:11" x14ac:dyDescent="0.3">
      <c r="A379" t="s">
        <v>202</v>
      </c>
      <c r="B379" t="s">
        <v>46</v>
      </c>
      <c r="C379" t="s">
        <v>9</v>
      </c>
      <c r="D379">
        <v>14</v>
      </c>
      <c r="E379">
        <v>7355</v>
      </c>
      <c r="F379">
        <v>10579</v>
      </c>
      <c r="G379" t="s">
        <v>10</v>
      </c>
      <c r="H379" t="str">
        <f>TEXT(CleanData[[#This Row],[Date]],"mmm")</f>
        <v>Jun</v>
      </c>
      <c r="I379">
        <f>WEEKNUM(CleanData[[#This Row],[Date]])</f>
        <v>26</v>
      </c>
      <c r="J379">
        <f>IF(CleanData[[#This Row],[Revenue]]&gt;=CleanData[[#This Row],[Target]],1,0)</f>
        <v>0</v>
      </c>
      <c r="K379">
        <f>IF(CleanData[[#This Row],[Attendance_Status]]="Present",1,0)</f>
        <v>1</v>
      </c>
    </row>
    <row r="380" spans="1:11" x14ac:dyDescent="0.3">
      <c r="A380" t="s">
        <v>173</v>
      </c>
      <c r="B380" t="s">
        <v>52</v>
      </c>
      <c r="C380" t="s">
        <v>13</v>
      </c>
      <c r="D380">
        <v>14</v>
      </c>
      <c r="E380">
        <v>22330</v>
      </c>
      <c r="F380">
        <v>18332</v>
      </c>
      <c r="G380" t="s">
        <v>10</v>
      </c>
      <c r="H380" t="str">
        <f>TEXT(CleanData[[#This Row],[Date]],"mmm")</f>
        <v>Jun</v>
      </c>
      <c r="I380">
        <f>WEEKNUM(CleanData[[#This Row],[Date]])</f>
        <v>23</v>
      </c>
      <c r="J380">
        <f>IF(CleanData[[#This Row],[Revenue]]&gt;=CleanData[[#This Row],[Target]],1,0)</f>
        <v>1</v>
      </c>
      <c r="K380">
        <f>IF(CleanData[[#This Row],[Attendance_Status]]="Present",1,0)</f>
        <v>1</v>
      </c>
    </row>
    <row r="381" spans="1:11" x14ac:dyDescent="0.3">
      <c r="A381" t="s">
        <v>189</v>
      </c>
      <c r="B381" t="s">
        <v>79</v>
      </c>
      <c r="C381" t="s">
        <v>13</v>
      </c>
      <c r="D381">
        <v>25</v>
      </c>
      <c r="E381">
        <v>12944</v>
      </c>
      <c r="F381">
        <v>15268</v>
      </c>
      <c r="G381" t="s">
        <v>10</v>
      </c>
      <c r="H381" t="str">
        <f>TEXT(CleanData[[#This Row],[Date]],"mmm")</f>
        <v>Mar</v>
      </c>
      <c r="I381">
        <f>WEEKNUM(CleanData[[#This Row],[Date]])</f>
        <v>11</v>
      </c>
      <c r="J381">
        <f>IF(CleanData[[#This Row],[Revenue]]&gt;=CleanData[[#This Row],[Target]],1,0)</f>
        <v>0</v>
      </c>
      <c r="K381">
        <f>IF(CleanData[[#This Row],[Attendance_Status]]="Present",1,0)</f>
        <v>1</v>
      </c>
    </row>
    <row r="382" spans="1:11" x14ac:dyDescent="0.3">
      <c r="A382" t="s">
        <v>194</v>
      </c>
      <c r="B382" t="s">
        <v>73</v>
      </c>
      <c r="C382" t="s">
        <v>13</v>
      </c>
      <c r="D382">
        <v>5</v>
      </c>
      <c r="E382">
        <v>26606</v>
      </c>
      <c r="F382">
        <v>15687</v>
      </c>
      <c r="G382" t="s">
        <v>10</v>
      </c>
      <c r="H382" t="str">
        <f>TEXT(CleanData[[#This Row],[Date]],"mmm")</f>
        <v>Jan</v>
      </c>
      <c r="I382">
        <f>WEEKNUM(CleanData[[#This Row],[Date]])</f>
        <v>5</v>
      </c>
      <c r="J382">
        <f>IF(CleanData[[#This Row],[Revenue]]&gt;=CleanData[[#This Row],[Target]],1,0)</f>
        <v>1</v>
      </c>
      <c r="K382">
        <f>IF(CleanData[[#This Row],[Attendance_Status]]="Present",1,0)</f>
        <v>1</v>
      </c>
    </row>
    <row r="383" spans="1:11" x14ac:dyDescent="0.3">
      <c r="A383" t="s">
        <v>62</v>
      </c>
      <c r="B383" t="s">
        <v>67</v>
      </c>
      <c r="C383" t="s">
        <v>13</v>
      </c>
      <c r="D383">
        <v>7</v>
      </c>
      <c r="E383">
        <v>28116</v>
      </c>
      <c r="F383">
        <v>12810</v>
      </c>
      <c r="G383" t="s">
        <v>10</v>
      </c>
      <c r="H383" t="str">
        <f>TEXT(CleanData[[#This Row],[Date]],"mmm")</f>
        <v>Jan</v>
      </c>
      <c r="I383">
        <f>WEEKNUM(CleanData[[#This Row],[Date]])</f>
        <v>4</v>
      </c>
      <c r="J383">
        <f>IF(CleanData[[#This Row],[Revenue]]&gt;=CleanData[[#This Row],[Target]],1,0)</f>
        <v>1</v>
      </c>
      <c r="K383">
        <f>IF(CleanData[[#This Row],[Attendance_Status]]="Present",1,0)</f>
        <v>1</v>
      </c>
    </row>
    <row r="384" spans="1:11" x14ac:dyDescent="0.3">
      <c r="A384" t="s">
        <v>123</v>
      </c>
      <c r="B384" t="s">
        <v>69</v>
      </c>
      <c r="C384" t="s">
        <v>13</v>
      </c>
      <c r="D384">
        <v>8</v>
      </c>
      <c r="E384">
        <v>26877</v>
      </c>
      <c r="F384">
        <v>24955</v>
      </c>
      <c r="G384" t="s">
        <v>10</v>
      </c>
      <c r="H384" t="str">
        <f>TEXT(CleanData[[#This Row],[Date]],"mmm")</f>
        <v>Jun</v>
      </c>
      <c r="I384">
        <f>WEEKNUM(CleanData[[#This Row],[Date]])</f>
        <v>23</v>
      </c>
      <c r="J384">
        <f>IF(CleanData[[#This Row],[Revenue]]&gt;=CleanData[[#This Row],[Target]],1,0)</f>
        <v>1</v>
      </c>
      <c r="K384">
        <f>IF(CleanData[[#This Row],[Attendance_Status]]="Present",1,0)</f>
        <v>1</v>
      </c>
    </row>
    <row r="385" spans="1:11" x14ac:dyDescent="0.3">
      <c r="A385" t="s">
        <v>112</v>
      </c>
      <c r="B385" t="s">
        <v>27</v>
      </c>
      <c r="C385" t="s">
        <v>9</v>
      </c>
      <c r="D385">
        <v>8</v>
      </c>
      <c r="E385">
        <v>20182</v>
      </c>
      <c r="F385">
        <v>18780</v>
      </c>
      <c r="G385" t="s">
        <v>10</v>
      </c>
      <c r="H385" t="str">
        <f>TEXT(CleanData[[#This Row],[Date]],"mmm")</f>
        <v>Apr</v>
      </c>
      <c r="I385">
        <f>WEEKNUM(CleanData[[#This Row],[Date]])</f>
        <v>14</v>
      </c>
      <c r="J385">
        <f>IF(CleanData[[#This Row],[Revenue]]&gt;=CleanData[[#This Row],[Target]],1,0)</f>
        <v>1</v>
      </c>
      <c r="K385">
        <f>IF(CleanData[[#This Row],[Attendance_Status]]="Present",1,0)</f>
        <v>1</v>
      </c>
    </row>
    <row r="386" spans="1:11" x14ac:dyDescent="0.3">
      <c r="A386" t="s">
        <v>111</v>
      </c>
      <c r="B386" t="s">
        <v>25</v>
      </c>
      <c r="C386" t="s">
        <v>9</v>
      </c>
      <c r="D386">
        <v>9</v>
      </c>
      <c r="E386">
        <v>16856</v>
      </c>
      <c r="F386">
        <v>24012</v>
      </c>
      <c r="G386" t="s">
        <v>10</v>
      </c>
      <c r="H386" t="str">
        <f>TEXT(CleanData[[#This Row],[Date]],"mmm")</f>
        <v>Mar</v>
      </c>
      <c r="I386">
        <f>WEEKNUM(CleanData[[#This Row],[Date]])</f>
        <v>11</v>
      </c>
      <c r="J386">
        <f>IF(CleanData[[#This Row],[Revenue]]&gt;=CleanData[[#This Row],[Target]],1,0)</f>
        <v>0</v>
      </c>
      <c r="K386">
        <f>IF(CleanData[[#This Row],[Attendance_Status]]="Present",1,0)</f>
        <v>1</v>
      </c>
    </row>
    <row r="387" spans="1:11" x14ac:dyDescent="0.3">
      <c r="A387" t="s">
        <v>61</v>
      </c>
      <c r="B387" t="s">
        <v>29</v>
      </c>
      <c r="C387" t="s">
        <v>22</v>
      </c>
      <c r="D387">
        <v>13</v>
      </c>
      <c r="E387">
        <v>20446</v>
      </c>
      <c r="F387">
        <v>12558</v>
      </c>
      <c r="G387" t="s">
        <v>10</v>
      </c>
      <c r="H387" t="str">
        <f>TEXT(CleanData[[#This Row],[Date]],"mmm")</f>
        <v>Jan</v>
      </c>
      <c r="I387">
        <f>WEEKNUM(CleanData[[#This Row],[Date]])</f>
        <v>4</v>
      </c>
      <c r="J387">
        <f>IF(CleanData[[#This Row],[Revenue]]&gt;=CleanData[[#This Row],[Target]],1,0)</f>
        <v>1</v>
      </c>
      <c r="K387">
        <f>IF(CleanData[[#This Row],[Attendance_Status]]="Present",1,0)</f>
        <v>1</v>
      </c>
    </row>
    <row r="388" spans="1:11" x14ac:dyDescent="0.3">
      <c r="A388" t="s">
        <v>18</v>
      </c>
      <c r="B388" t="s">
        <v>52</v>
      </c>
      <c r="C388" t="s">
        <v>9</v>
      </c>
      <c r="D388">
        <v>14</v>
      </c>
      <c r="E388">
        <v>25685</v>
      </c>
      <c r="F388">
        <v>14701</v>
      </c>
      <c r="G388" t="s">
        <v>10</v>
      </c>
      <c r="H388" t="str">
        <f>TEXT(CleanData[[#This Row],[Date]],"mmm")</f>
        <v>Apr</v>
      </c>
      <c r="I388">
        <f>WEEKNUM(CleanData[[#This Row],[Date]])</f>
        <v>17</v>
      </c>
      <c r="J388">
        <f>IF(CleanData[[#This Row],[Revenue]]&gt;=CleanData[[#This Row],[Target]],1,0)</f>
        <v>1</v>
      </c>
      <c r="K388">
        <f>IF(CleanData[[#This Row],[Attendance_Status]]="Present",1,0)</f>
        <v>1</v>
      </c>
    </row>
    <row r="389" spans="1:11" x14ac:dyDescent="0.3">
      <c r="A389" t="s">
        <v>76</v>
      </c>
      <c r="B389" t="s">
        <v>12</v>
      </c>
      <c r="C389" t="s">
        <v>9</v>
      </c>
      <c r="D389">
        <v>24</v>
      </c>
      <c r="E389">
        <v>27556</v>
      </c>
      <c r="F389">
        <v>17876</v>
      </c>
      <c r="G389" t="s">
        <v>10</v>
      </c>
      <c r="H389" t="str">
        <f>TEXT(CleanData[[#This Row],[Date]],"mmm")</f>
        <v>Feb</v>
      </c>
      <c r="I389">
        <f>WEEKNUM(CleanData[[#This Row],[Date]])</f>
        <v>9</v>
      </c>
      <c r="J389">
        <f>IF(CleanData[[#This Row],[Revenue]]&gt;=CleanData[[#This Row],[Target]],1,0)</f>
        <v>1</v>
      </c>
      <c r="K389">
        <f>IF(CleanData[[#This Row],[Attendance_Status]]="Present",1,0)</f>
        <v>1</v>
      </c>
    </row>
    <row r="390" spans="1:11" x14ac:dyDescent="0.3">
      <c r="A390" t="s">
        <v>102</v>
      </c>
      <c r="B390" t="s">
        <v>46</v>
      </c>
      <c r="C390" t="s">
        <v>13</v>
      </c>
      <c r="D390">
        <v>10</v>
      </c>
      <c r="E390">
        <v>7161</v>
      </c>
      <c r="F390">
        <v>14941</v>
      </c>
      <c r="G390" t="s">
        <v>10</v>
      </c>
      <c r="H390" t="str">
        <f>TEXT(CleanData[[#This Row],[Date]],"mmm")</f>
        <v>May</v>
      </c>
      <c r="I390">
        <f>WEEKNUM(CleanData[[#This Row],[Date]])</f>
        <v>22</v>
      </c>
      <c r="J390">
        <f>IF(CleanData[[#This Row],[Revenue]]&gt;=CleanData[[#This Row],[Target]],1,0)</f>
        <v>0</v>
      </c>
      <c r="K390">
        <f>IF(CleanData[[#This Row],[Attendance_Status]]="Present",1,0)</f>
        <v>1</v>
      </c>
    </row>
    <row r="391" spans="1:11" x14ac:dyDescent="0.3">
      <c r="A391" t="s">
        <v>102</v>
      </c>
      <c r="B391" t="s">
        <v>37</v>
      </c>
      <c r="C391" t="s">
        <v>22</v>
      </c>
      <c r="D391">
        <v>23</v>
      </c>
      <c r="E391">
        <v>25878</v>
      </c>
      <c r="F391">
        <v>16964</v>
      </c>
      <c r="G391" t="s">
        <v>10</v>
      </c>
      <c r="H391" t="str">
        <f>TEXT(CleanData[[#This Row],[Date]],"mmm")</f>
        <v>May</v>
      </c>
      <c r="I391">
        <f>WEEKNUM(CleanData[[#This Row],[Date]])</f>
        <v>22</v>
      </c>
      <c r="J391">
        <f>IF(CleanData[[#This Row],[Revenue]]&gt;=CleanData[[#This Row],[Target]],1,0)</f>
        <v>1</v>
      </c>
      <c r="K391">
        <f>IF(CleanData[[#This Row],[Attendance_Status]]="Present",1,0)</f>
        <v>1</v>
      </c>
    </row>
    <row r="392" spans="1:11" x14ac:dyDescent="0.3">
      <c r="A392" t="s">
        <v>116</v>
      </c>
      <c r="B392" t="s">
        <v>27</v>
      </c>
      <c r="C392" t="s">
        <v>22</v>
      </c>
      <c r="D392">
        <v>12</v>
      </c>
      <c r="E392">
        <v>21314</v>
      </c>
      <c r="F392">
        <v>12295</v>
      </c>
      <c r="G392" t="s">
        <v>10</v>
      </c>
      <c r="H392" t="str">
        <f>TEXT(CleanData[[#This Row],[Date]],"mmm")</f>
        <v>Jun</v>
      </c>
      <c r="I392">
        <f>WEEKNUM(CleanData[[#This Row],[Date]])</f>
        <v>22</v>
      </c>
      <c r="J392">
        <f>IF(CleanData[[#This Row],[Revenue]]&gt;=CleanData[[#This Row],[Target]],1,0)</f>
        <v>1</v>
      </c>
      <c r="K392">
        <f>IF(CleanData[[#This Row],[Attendance_Status]]="Present",1,0)</f>
        <v>1</v>
      </c>
    </row>
    <row r="393" spans="1:11" x14ac:dyDescent="0.3">
      <c r="A393" t="s">
        <v>188</v>
      </c>
      <c r="B393" t="s">
        <v>12</v>
      </c>
      <c r="C393" t="s">
        <v>9</v>
      </c>
      <c r="D393">
        <v>22</v>
      </c>
      <c r="E393">
        <v>26027</v>
      </c>
      <c r="F393">
        <v>16785</v>
      </c>
      <c r="G393" t="s">
        <v>10</v>
      </c>
      <c r="H393" t="str">
        <f>TEXT(CleanData[[#This Row],[Date]],"mmm")</f>
        <v>May</v>
      </c>
      <c r="I393">
        <f>WEEKNUM(CleanData[[#This Row],[Date]])</f>
        <v>19</v>
      </c>
      <c r="J393">
        <f>IF(CleanData[[#This Row],[Revenue]]&gt;=CleanData[[#This Row],[Target]],1,0)</f>
        <v>1</v>
      </c>
      <c r="K393">
        <f>IF(CleanData[[#This Row],[Attendance_Status]]="Present",1,0)</f>
        <v>1</v>
      </c>
    </row>
    <row r="394" spans="1:11" x14ac:dyDescent="0.3">
      <c r="A394" t="s">
        <v>89</v>
      </c>
      <c r="B394" t="s">
        <v>27</v>
      </c>
      <c r="C394" t="s">
        <v>13</v>
      </c>
      <c r="D394">
        <v>5</v>
      </c>
      <c r="E394">
        <v>6021</v>
      </c>
      <c r="F394">
        <v>21486</v>
      </c>
      <c r="G394" t="s">
        <v>10</v>
      </c>
      <c r="H394" t="str">
        <f>TEXT(CleanData[[#This Row],[Date]],"mmm")</f>
        <v>Jun</v>
      </c>
      <c r="I394">
        <f>WEEKNUM(CleanData[[#This Row],[Date]])</f>
        <v>23</v>
      </c>
      <c r="J394">
        <f>IF(CleanData[[#This Row],[Revenue]]&gt;=CleanData[[#This Row],[Target]],1,0)</f>
        <v>0</v>
      </c>
      <c r="K394">
        <f>IF(CleanData[[#This Row],[Attendance_Status]]="Present",1,0)</f>
        <v>1</v>
      </c>
    </row>
    <row r="395" spans="1:11" x14ac:dyDescent="0.3">
      <c r="A395" t="s">
        <v>53</v>
      </c>
      <c r="B395" t="s">
        <v>25</v>
      </c>
      <c r="C395" t="s">
        <v>13</v>
      </c>
      <c r="D395">
        <v>20</v>
      </c>
      <c r="E395">
        <v>22114</v>
      </c>
      <c r="F395">
        <v>22848</v>
      </c>
      <c r="G395" t="s">
        <v>10</v>
      </c>
      <c r="H395" t="str">
        <f>TEXT(CleanData[[#This Row],[Date]],"mmm")</f>
        <v>Jan</v>
      </c>
      <c r="I395">
        <f>WEEKNUM(CleanData[[#This Row],[Date]])</f>
        <v>1</v>
      </c>
      <c r="J395">
        <f>IF(CleanData[[#This Row],[Revenue]]&gt;=CleanData[[#This Row],[Target]],1,0)</f>
        <v>0</v>
      </c>
      <c r="K395">
        <f>IF(CleanData[[#This Row],[Attendance_Status]]="Present",1,0)</f>
        <v>1</v>
      </c>
    </row>
    <row r="396" spans="1:11" x14ac:dyDescent="0.3">
      <c r="A396" t="s">
        <v>81</v>
      </c>
      <c r="B396" t="s">
        <v>29</v>
      </c>
      <c r="C396" t="s">
        <v>13</v>
      </c>
      <c r="D396">
        <v>17</v>
      </c>
      <c r="E396">
        <v>16861</v>
      </c>
      <c r="F396">
        <v>16042</v>
      </c>
      <c r="G396" t="s">
        <v>10</v>
      </c>
      <c r="H396" t="str">
        <f>TEXT(CleanData[[#This Row],[Date]],"mmm")</f>
        <v>Feb</v>
      </c>
      <c r="I396">
        <f>WEEKNUM(CleanData[[#This Row],[Date]])</f>
        <v>7</v>
      </c>
      <c r="J396">
        <f>IF(CleanData[[#This Row],[Revenue]]&gt;=CleanData[[#This Row],[Target]],1,0)</f>
        <v>1</v>
      </c>
      <c r="K396">
        <f>IF(CleanData[[#This Row],[Attendance_Status]]="Present",1,0)</f>
        <v>1</v>
      </c>
    </row>
    <row r="397" spans="1:11" x14ac:dyDescent="0.3">
      <c r="A397" t="s">
        <v>203</v>
      </c>
      <c r="B397" t="s">
        <v>42</v>
      </c>
      <c r="C397" t="s">
        <v>22</v>
      </c>
      <c r="D397">
        <v>11</v>
      </c>
      <c r="E397">
        <v>23357</v>
      </c>
      <c r="F397">
        <v>10623</v>
      </c>
      <c r="G397" t="s">
        <v>10</v>
      </c>
      <c r="H397" t="str">
        <f>TEXT(CleanData[[#This Row],[Date]],"mmm")</f>
        <v>Jan</v>
      </c>
      <c r="I397">
        <f>WEEKNUM(CleanData[[#This Row],[Date]])</f>
        <v>3</v>
      </c>
      <c r="J397">
        <f>IF(CleanData[[#This Row],[Revenue]]&gt;=CleanData[[#This Row],[Target]],1,0)</f>
        <v>1</v>
      </c>
      <c r="K397">
        <f>IF(CleanData[[#This Row],[Attendance_Status]]="Present",1,0)</f>
        <v>1</v>
      </c>
    </row>
    <row r="398" spans="1:11" x14ac:dyDescent="0.3">
      <c r="A398" t="s">
        <v>202</v>
      </c>
      <c r="B398" t="s">
        <v>40</v>
      </c>
      <c r="C398" t="s">
        <v>13</v>
      </c>
      <c r="D398">
        <v>22</v>
      </c>
      <c r="E398">
        <v>14331</v>
      </c>
      <c r="F398">
        <v>21543</v>
      </c>
      <c r="G398" t="s">
        <v>10</v>
      </c>
      <c r="H398" t="str">
        <f>TEXT(CleanData[[#This Row],[Date]],"mmm")</f>
        <v>Jun</v>
      </c>
      <c r="I398">
        <f>WEEKNUM(CleanData[[#This Row],[Date]])</f>
        <v>26</v>
      </c>
      <c r="J398">
        <f>IF(CleanData[[#This Row],[Revenue]]&gt;=CleanData[[#This Row],[Target]],1,0)</f>
        <v>0</v>
      </c>
      <c r="K398">
        <f>IF(CleanData[[#This Row],[Attendance_Status]]="Present",1,0)</f>
        <v>1</v>
      </c>
    </row>
    <row r="399" spans="1:11" x14ac:dyDescent="0.3">
      <c r="A399" t="s">
        <v>123</v>
      </c>
      <c r="B399" t="s">
        <v>64</v>
      </c>
      <c r="C399" t="s">
        <v>9</v>
      </c>
      <c r="D399">
        <v>5</v>
      </c>
      <c r="E399">
        <v>18246</v>
      </c>
      <c r="F399">
        <v>23862</v>
      </c>
      <c r="G399" t="s">
        <v>10</v>
      </c>
      <c r="H399" t="str">
        <f>TEXT(CleanData[[#This Row],[Date]],"mmm")</f>
        <v>Jun</v>
      </c>
      <c r="I399">
        <f>WEEKNUM(CleanData[[#This Row],[Date]])</f>
        <v>23</v>
      </c>
      <c r="J399">
        <f>IF(CleanData[[#This Row],[Revenue]]&gt;=CleanData[[#This Row],[Target]],1,0)</f>
        <v>0</v>
      </c>
      <c r="K399">
        <f>IF(CleanData[[#This Row],[Attendance_Status]]="Present",1,0)</f>
        <v>1</v>
      </c>
    </row>
    <row r="400" spans="1:11" x14ac:dyDescent="0.3">
      <c r="A400" t="s">
        <v>179</v>
      </c>
      <c r="B400" t="s">
        <v>54</v>
      </c>
      <c r="C400" t="s">
        <v>22</v>
      </c>
      <c r="D400">
        <v>6</v>
      </c>
      <c r="E400">
        <v>25894</v>
      </c>
      <c r="F400">
        <v>10109</v>
      </c>
      <c r="G400" t="s">
        <v>10</v>
      </c>
      <c r="H400" t="str">
        <f>TEXT(CleanData[[#This Row],[Date]],"mmm")</f>
        <v>Mar</v>
      </c>
      <c r="I400">
        <f>WEEKNUM(CleanData[[#This Row],[Date]])</f>
        <v>12</v>
      </c>
      <c r="J400">
        <f>IF(CleanData[[#This Row],[Revenue]]&gt;=CleanData[[#This Row],[Target]],1,0)</f>
        <v>1</v>
      </c>
      <c r="K400">
        <f>IF(CleanData[[#This Row],[Attendance_Status]]="Present",1,0)</f>
        <v>1</v>
      </c>
    </row>
    <row r="401" spans="1:11" x14ac:dyDescent="0.3">
      <c r="A401" t="s">
        <v>142</v>
      </c>
      <c r="B401" t="s">
        <v>40</v>
      </c>
      <c r="C401" t="s">
        <v>22</v>
      </c>
      <c r="D401">
        <v>7</v>
      </c>
      <c r="E401">
        <v>9814</v>
      </c>
      <c r="F401">
        <v>13383</v>
      </c>
      <c r="G401" t="s">
        <v>10</v>
      </c>
      <c r="H401" t="str">
        <f>TEXT(CleanData[[#This Row],[Date]],"mmm")</f>
        <v>Jan</v>
      </c>
      <c r="I401">
        <f>WEEKNUM(CleanData[[#This Row],[Date]])</f>
        <v>3</v>
      </c>
      <c r="J401">
        <f>IF(CleanData[[#This Row],[Revenue]]&gt;=CleanData[[#This Row],[Target]],1,0)</f>
        <v>0</v>
      </c>
      <c r="K401">
        <f>IF(CleanData[[#This Row],[Attendance_Status]]="Present",1,0)</f>
        <v>1</v>
      </c>
    </row>
    <row r="402" spans="1:11" x14ac:dyDescent="0.3">
      <c r="A402" t="s">
        <v>80</v>
      </c>
      <c r="B402" t="s">
        <v>42</v>
      </c>
      <c r="C402" t="s">
        <v>9</v>
      </c>
      <c r="D402">
        <v>7</v>
      </c>
      <c r="E402">
        <v>24558</v>
      </c>
      <c r="F402">
        <v>13615</v>
      </c>
      <c r="G402" t="s">
        <v>10</v>
      </c>
      <c r="H402" t="str">
        <f>TEXT(CleanData[[#This Row],[Date]],"mmm")</f>
        <v>May</v>
      </c>
      <c r="I402">
        <f>WEEKNUM(CleanData[[#This Row],[Date]])</f>
        <v>21</v>
      </c>
      <c r="J402">
        <f>IF(CleanData[[#This Row],[Revenue]]&gt;=CleanData[[#This Row],[Target]],1,0)</f>
        <v>1</v>
      </c>
      <c r="K402">
        <f>IF(CleanData[[#This Row],[Attendance_Status]]="Present",1,0)</f>
        <v>1</v>
      </c>
    </row>
    <row r="403" spans="1:11" x14ac:dyDescent="0.3">
      <c r="A403" t="s">
        <v>189</v>
      </c>
      <c r="B403" t="s">
        <v>15</v>
      </c>
      <c r="C403" t="s">
        <v>13</v>
      </c>
      <c r="D403">
        <v>10</v>
      </c>
      <c r="E403">
        <v>19691</v>
      </c>
      <c r="F403">
        <v>24561</v>
      </c>
      <c r="G403" t="s">
        <v>10</v>
      </c>
      <c r="H403" t="str">
        <f>TEXT(CleanData[[#This Row],[Date]],"mmm")</f>
        <v>Mar</v>
      </c>
      <c r="I403">
        <f>WEEKNUM(CleanData[[#This Row],[Date]])</f>
        <v>11</v>
      </c>
      <c r="J403">
        <f>IF(CleanData[[#This Row],[Revenue]]&gt;=CleanData[[#This Row],[Target]],1,0)</f>
        <v>0</v>
      </c>
      <c r="K403">
        <f>IF(CleanData[[#This Row],[Attendance_Status]]="Present",1,0)</f>
        <v>1</v>
      </c>
    </row>
    <row r="404" spans="1:11" x14ac:dyDescent="0.3">
      <c r="A404" t="s">
        <v>142</v>
      </c>
      <c r="B404" t="s">
        <v>73</v>
      </c>
      <c r="C404" t="s">
        <v>22</v>
      </c>
      <c r="D404">
        <v>25</v>
      </c>
      <c r="E404">
        <v>13029</v>
      </c>
      <c r="F404">
        <v>14504</v>
      </c>
      <c r="G404" t="s">
        <v>10</v>
      </c>
      <c r="H404" t="str">
        <f>TEXT(CleanData[[#This Row],[Date]],"mmm")</f>
        <v>Jan</v>
      </c>
      <c r="I404">
        <f>WEEKNUM(CleanData[[#This Row],[Date]])</f>
        <v>3</v>
      </c>
      <c r="J404">
        <f>IF(CleanData[[#This Row],[Revenue]]&gt;=CleanData[[#This Row],[Target]],1,0)</f>
        <v>0</v>
      </c>
      <c r="K404">
        <f>IF(CleanData[[#This Row],[Attendance_Status]]="Present",1,0)</f>
        <v>1</v>
      </c>
    </row>
    <row r="405" spans="1:11" x14ac:dyDescent="0.3">
      <c r="A405" t="s">
        <v>204</v>
      </c>
      <c r="B405" t="s">
        <v>120</v>
      </c>
      <c r="C405" t="s">
        <v>22</v>
      </c>
      <c r="D405">
        <v>18</v>
      </c>
      <c r="E405">
        <v>13430</v>
      </c>
      <c r="F405">
        <v>12326</v>
      </c>
      <c r="G405" t="s">
        <v>10</v>
      </c>
      <c r="H405" t="str">
        <f>TEXT(CleanData[[#This Row],[Date]],"mmm")</f>
        <v>Jun</v>
      </c>
      <c r="I405">
        <f>WEEKNUM(CleanData[[#This Row],[Date]])</f>
        <v>26</v>
      </c>
      <c r="J405">
        <f>IF(CleanData[[#This Row],[Revenue]]&gt;=CleanData[[#This Row],[Target]],1,0)</f>
        <v>1</v>
      </c>
      <c r="K405">
        <f>IF(CleanData[[#This Row],[Attendance_Status]]="Present",1,0)</f>
        <v>1</v>
      </c>
    </row>
    <row r="406" spans="1:11" x14ac:dyDescent="0.3">
      <c r="A406" t="s">
        <v>34</v>
      </c>
      <c r="B406" t="s">
        <v>101</v>
      </c>
      <c r="C406" t="s">
        <v>22</v>
      </c>
      <c r="D406">
        <v>19</v>
      </c>
      <c r="E406">
        <v>6595</v>
      </c>
      <c r="F406">
        <v>16525</v>
      </c>
      <c r="G406" t="s">
        <v>10</v>
      </c>
      <c r="H406" t="str">
        <f>TEXT(CleanData[[#This Row],[Date]],"mmm")</f>
        <v>Jan</v>
      </c>
      <c r="I406">
        <f>WEEKNUM(CleanData[[#This Row],[Date]])</f>
        <v>1</v>
      </c>
      <c r="J406">
        <f>IF(CleanData[[#This Row],[Revenue]]&gt;=CleanData[[#This Row],[Target]],1,0)</f>
        <v>0</v>
      </c>
      <c r="K406">
        <f>IF(CleanData[[#This Row],[Attendance_Status]]="Present",1,0)</f>
        <v>1</v>
      </c>
    </row>
    <row r="407" spans="1:11" x14ac:dyDescent="0.3">
      <c r="A407" t="s">
        <v>118</v>
      </c>
      <c r="B407" t="s">
        <v>8</v>
      </c>
      <c r="C407" t="s">
        <v>9</v>
      </c>
      <c r="D407">
        <v>15</v>
      </c>
      <c r="E407">
        <v>21067</v>
      </c>
      <c r="F407">
        <v>24074</v>
      </c>
      <c r="G407" t="s">
        <v>10</v>
      </c>
      <c r="H407" t="str">
        <f>TEXT(CleanData[[#This Row],[Date]],"mmm")</f>
        <v>Jan</v>
      </c>
      <c r="I407">
        <f>WEEKNUM(CleanData[[#This Row],[Date]])</f>
        <v>4</v>
      </c>
      <c r="J407">
        <f>IF(CleanData[[#This Row],[Revenue]]&gt;=CleanData[[#This Row],[Target]],1,0)</f>
        <v>0</v>
      </c>
      <c r="K407">
        <f>IF(CleanData[[#This Row],[Attendance_Status]]="Present",1,0)</f>
        <v>1</v>
      </c>
    </row>
    <row r="408" spans="1:11" x14ac:dyDescent="0.3">
      <c r="A408" t="s">
        <v>94</v>
      </c>
      <c r="B408" t="s">
        <v>73</v>
      </c>
      <c r="C408" t="s">
        <v>22</v>
      </c>
      <c r="D408">
        <v>11</v>
      </c>
      <c r="E408">
        <v>27384</v>
      </c>
      <c r="F408">
        <v>21424</v>
      </c>
      <c r="G408" t="s">
        <v>10</v>
      </c>
      <c r="H408" t="str">
        <f>TEXT(CleanData[[#This Row],[Date]],"mmm")</f>
        <v>Feb</v>
      </c>
      <c r="I408">
        <f>WEEKNUM(CleanData[[#This Row],[Date]])</f>
        <v>5</v>
      </c>
      <c r="J408">
        <f>IF(CleanData[[#This Row],[Revenue]]&gt;=CleanData[[#This Row],[Target]],1,0)</f>
        <v>1</v>
      </c>
      <c r="K408">
        <f>IF(CleanData[[#This Row],[Attendance_Status]]="Present",1,0)</f>
        <v>1</v>
      </c>
    </row>
    <row r="409" spans="1:11" x14ac:dyDescent="0.3">
      <c r="A409" t="s">
        <v>58</v>
      </c>
      <c r="B409" t="s">
        <v>17</v>
      </c>
      <c r="C409" t="s">
        <v>9</v>
      </c>
      <c r="D409">
        <v>9</v>
      </c>
      <c r="E409">
        <v>18631</v>
      </c>
      <c r="F409">
        <v>15537</v>
      </c>
      <c r="G409" t="s">
        <v>26</v>
      </c>
      <c r="H409" t="str">
        <f>TEXT(CleanData[[#This Row],[Date]],"mmm")</f>
        <v>May</v>
      </c>
      <c r="I409">
        <f>WEEKNUM(CleanData[[#This Row],[Date]])</f>
        <v>21</v>
      </c>
      <c r="J409">
        <f>IF(CleanData[[#This Row],[Revenue]]&gt;=CleanData[[#This Row],[Target]],1,0)</f>
        <v>1</v>
      </c>
      <c r="K409">
        <f>IF(CleanData[[#This Row],[Attendance_Status]]="Present",1,0)</f>
        <v>0</v>
      </c>
    </row>
    <row r="410" spans="1:11" x14ac:dyDescent="0.3">
      <c r="A410" t="s">
        <v>132</v>
      </c>
      <c r="B410" t="s">
        <v>79</v>
      </c>
      <c r="C410" t="s">
        <v>13</v>
      </c>
      <c r="D410">
        <v>7</v>
      </c>
      <c r="E410">
        <v>19458</v>
      </c>
      <c r="F410">
        <v>17312</v>
      </c>
      <c r="G410" t="s">
        <v>10</v>
      </c>
      <c r="H410" t="str">
        <f>TEXT(CleanData[[#This Row],[Date]],"mmm")</f>
        <v>Jun</v>
      </c>
      <c r="I410">
        <f>WEEKNUM(CleanData[[#This Row],[Date]])</f>
        <v>23</v>
      </c>
      <c r="J410">
        <f>IF(CleanData[[#This Row],[Revenue]]&gt;=CleanData[[#This Row],[Target]],1,0)</f>
        <v>1</v>
      </c>
      <c r="K410">
        <f>IF(CleanData[[#This Row],[Attendance_Status]]="Present",1,0)</f>
        <v>1</v>
      </c>
    </row>
    <row r="411" spans="1:11" x14ac:dyDescent="0.3">
      <c r="A411" t="s">
        <v>41</v>
      </c>
      <c r="B411" t="s">
        <v>19</v>
      </c>
      <c r="C411" t="s">
        <v>22</v>
      </c>
      <c r="D411">
        <v>18</v>
      </c>
      <c r="E411">
        <v>21475</v>
      </c>
      <c r="F411">
        <v>15731</v>
      </c>
      <c r="G411" t="s">
        <v>10</v>
      </c>
      <c r="H411" t="str">
        <f>TEXT(CleanData[[#This Row],[Date]],"mmm")</f>
        <v>Jun</v>
      </c>
      <c r="I411">
        <f>WEEKNUM(CleanData[[#This Row],[Date]])</f>
        <v>26</v>
      </c>
      <c r="J411">
        <f>IF(CleanData[[#This Row],[Revenue]]&gt;=CleanData[[#This Row],[Target]],1,0)</f>
        <v>1</v>
      </c>
      <c r="K411">
        <f>IF(CleanData[[#This Row],[Attendance_Status]]="Present",1,0)</f>
        <v>1</v>
      </c>
    </row>
    <row r="412" spans="1:11" x14ac:dyDescent="0.3">
      <c r="A412" t="s">
        <v>189</v>
      </c>
      <c r="B412" t="s">
        <v>73</v>
      </c>
      <c r="C412" t="s">
        <v>13</v>
      </c>
      <c r="D412">
        <v>15</v>
      </c>
      <c r="E412">
        <v>23872</v>
      </c>
      <c r="F412">
        <v>15959</v>
      </c>
      <c r="G412" t="s">
        <v>10</v>
      </c>
      <c r="H412" t="str">
        <f>TEXT(CleanData[[#This Row],[Date]],"mmm")</f>
        <v>Mar</v>
      </c>
      <c r="I412">
        <f>WEEKNUM(CleanData[[#This Row],[Date]])</f>
        <v>11</v>
      </c>
      <c r="J412">
        <f>IF(CleanData[[#This Row],[Revenue]]&gt;=CleanData[[#This Row],[Target]],1,0)</f>
        <v>1</v>
      </c>
      <c r="K412">
        <f>IF(CleanData[[#This Row],[Attendance_Status]]="Present",1,0)</f>
        <v>1</v>
      </c>
    </row>
    <row r="413" spans="1:11" x14ac:dyDescent="0.3">
      <c r="A413" t="s">
        <v>158</v>
      </c>
      <c r="B413" t="s">
        <v>75</v>
      </c>
      <c r="C413" t="s">
        <v>9</v>
      </c>
      <c r="D413">
        <v>14</v>
      </c>
      <c r="E413">
        <v>23251</v>
      </c>
      <c r="F413">
        <v>21254</v>
      </c>
      <c r="G413" t="s">
        <v>10</v>
      </c>
      <c r="H413" t="str">
        <f>TEXT(CleanData[[#This Row],[Date]],"mmm")</f>
        <v>Jun</v>
      </c>
      <c r="I413">
        <f>WEEKNUM(CleanData[[#This Row],[Date]])</f>
        <v>24</v>
      </c>
      <c r="J413">
        <f>IF(CleanData[[#This Row],[Revenue]]&gt;=CleanData[[#This Row],[Target]],1,0)</f>
        <v>1</v>
      </c>
      <c r="K413">
        <f>IF(CleanData[[#This Row],[Attendance_Status]]="Present",1,0)</f>
        <v>1</v>
      </c>
    </row>
    <row r="414" spans="1:11" x14ac:dyDescent="0.3">
      <c r="A414" t="s">
        <v>97</v>
      </c>
      <c r="B414" t="s">
        <v>120</v>
      </c>
      <c r="C414" t="s">
        <v>9</v>
      </c>
      <c r="D414">
        <v>11</v>
      </c>
      <c r="E414">
        <v>7595</v>
      </c>
      <c r="F414">
        <v>16606</v>
      </c>
      <c r="G414" t="s">
        <v>10</v>
      </c>
      <c r="H414" t="str">
        <f>TEXT(CleanData[[#This Row],[Date]],"mmm")</f>
        <v>Mar</v>
      </c>
      <c r="I414">
        <f>WEEKNUM(CleanData[[#This Row],[Date]])</f>
        <v>11</v>
      </c>
      <c r="J414">
        <f>IF(CleanData[[#This Row],[Revenue]]&gt;=CleanData[[#This Row],[Target]],1,0)</f>
        <v>0</v>
      </c>
      <c r="K414">
        <f>IF(CleanData[[#This Row],[Attendance_Status]]="Present",1,0)</f>
        <v>1</v>
      </c>
    </row>
    <row r="415" spans="1:11" x14ac:dyDescent="0.3">
      <c r="A415" t="s">
        <v>39</v>
      </c>
      <c r="B415" t="s">
        <v>50</v>
      </c>
      <c r="C415" t="s">
        <v>9</v>
      </c>
      <c r="D415">
        <v>25</v>
      </c>
      <c r="E415">
        <v>11743</v>
      </c>
      <c r="F415">
        <v>19031</v>
      </c>
      <c r="G415" t="s">
        <v>10</v>
      </c>
      <c r="H415" t="str">
        <f>TEXT(CleanData[[#This Row],[Date]],"mmm")</f>
        <v>Feb</v>
      </c>
      <c r="I415">
        <f>WEEKNUM(CleanData[[#This Row],[Date]])</f>
        <v>8</v>
      </c>
      <c r="J415">
        <f>IF(CleanData[[#This Row],[Revenue]]&gt;=CleanData[[#This Row],[Target]],1,0)</f>
        <v>0</v>
      </c>
      <c r="K415">
        <f>IF(CleanData[[#This Row],[Attendance_Status]]="Present",1,0)</f>
        <v>1</v>
      </c>
    </row>
    <row r="416" spans="1:11" x14ac:dyDescent="0.3">
      <c r="A416" t="s">
        <v>205</v>
      </c>
      <c r="B416" t="s">
        <v>50</v>
      </c>
      <c r="C416" t="s">
        <v>22</v>
      </c>
      <c r="D416">
        <v>25</v>
      </c>
      <c r="E416">
        <v>5014</v>
      </c>
      <c r="F416">
        <v>18771</v>
      </c>
      <c r="G416" t="s">
        <v>10</v>
      </c>
      <c r="H416" t="str">
        <f>TEXT(CleanData[[#This Row],[Date]],"mmm")</f>
        <v>Apr</v>
      </c>
      <c r="I416">
        <f>WEEKNUM(CleanData[[#This Row],[Date]])</f>
        <v>16</v>
      </c>
      <c r="J416">
        <f>IF(CleanData[[#This Row],[Revenue]]&gt;=CleanData[[#This Row],[Target]],1,0)</f>
        <v>0</v>
      </c>
      <c r="K416">
        <f>IF(CleanData[[#This Row],[Attendance_Status]]="Present",1,0)</f>
        <v>1</v>
      </c>
    </row>
    <row r="417" spans="1:11" x14ac:dyDescent="0.3">
      <c r="A417" t="s">
        <v>86</v>
      </c>
      <c r="B417" t="s">
        <v>12</v>
      </c>
      <c r="C417" t="s">
        <v>22</v>
      </c>
      <c r="D417">
        <v>6</v>
      </c>
      <c r="E417">
        <v>21358</v>
      </c>
      <c r="F417">
        <v>12014</v>
      </c>
      <c r="G417" t="s">
        <v>10</v>
      </c>
      <c r="H417" t="str">
        <f>TEXT(CleanData[[#This Row],[Date]],"mmm")</f>
        <v>Apr</v>
      </c>
      <c r="I417">
        <f>WEEKNUM(CleanData[[#This Row],[Date]])</f>
        <v>16</v>
      </c>
      <c r="J417">
        <f>IF(CleanData[[#This Row],[Revenue]]&gt;=CleanData[[#This Row],[Target]],1,0)</f>
        <v>1</v>
      </c>
      <c r="K417">
        <f>IF(CleanData[[#This Row],[Attendance_Status]]="Present",1,0)</f>
        <v>1</v>
      </c>
    </row>
    <row r="418" spans="1:11" x14ac:dyDescent="0.3">
      <c r="A418" t="s">
        <v>181</v>
      </c>
      <c r="B418" t="s">
        <v>33</v>
      </c>
      <c r="C418" t="s">
        <v>22</v>
      </c>
      <c r="D418">
        <v>10</v>
      </c>
      <c r="E418">
        <v>14107</v>
      </c>
      <c r="F418">
        <v>14367</v>
      </c>
      <c r="G418" t="s">
        <v>10</v>
      </c>
      <c r="H418" t="str">
        <f>TEXT(CleanData[[#This Row],[Date]],"mmm")</f>
        <v>May</v>
      </c>
      <c r="I418">
        <f>WEEKNUM(CleanData[[#This Row],[Date]])</f>
        <v>19</v>
      </c>
      <c r="J418">
        <f>IF(CleanData[[#This Row],[Revenue]]&gt;=CleanData[[#This Row],[Target]],1,0)</f>
        <v>0</v>
      </c>
      <c r="K418">
        <f>IF(CleanData[[#This Row],[Attendance_Status]]="Present",1,0)</f>
        <v>1</v>
      </c>
    </row>
    <row r="419" spans="1:11" x14ac:dyDescent="0.3">
      <c r="A419" t="s">
        <v>198</v>
      </c>
      <c r="B419" t="s">
        <v>37</v>
      </c>
      <c r="C419" t="s">
        <v>22</v>
      </c>
      <c r="D419">
        <v>9</v>
      </c>
      <c r="E419">
        <v>28938</v>
      </c>
      <c r="F419">
        <v>22501</v>
      </c>
      <c r="G419" t="s">
        <v>26</v>
      </c>
      <c r="H419" t="str">
        <f>TEXT(CleanData[[#This Row],[Date]],"mmm")</f>
        <v>May</v>
      </c>
      <c r="I419">
        <f>WEEKNUM(CleanData[[#This Row],[Date]])</f>
        <v>21</v>
      </c>
      <c r="J419">
        <f>IF(CleanData[[#This Row],[Revenue]]&gt;=CleanData[[#This Row],[Target]],1,0)</f>
        <v>1</v>
      </c>
      <c r="K419">
        <f>IF(CleanData[[#This Row],[Attendance_Status]]="Present",1,0)</f>
        <v>0</v>
      </c>
    </row>
    <row r="420" spans="1:11" x14ac:dyDescent="0.3">
      <c r="A420" t="s">
        <v>45</v>
      </c>
      <c r="B420" t="s">
        <v>8</v>
      </c>
      <c r="C420" t="s">
        <v>22</v>
      </c>
      <c r="D420">
        <v>21</v>
      </c>
      <c r="E420">
        <v>16137</v>
      </c>
      <c r="F420">
        <v>24543</v>
      </c>
      <c r="G420" t="s">
        <v>10</v>
      </c>
      <c r="H420" t="str">
        <f>TEXT(CleanData[[#This Row],[Date]],"mmm")</f>
        <v>Jun</v>
      </c>
      <c r="I420">
        <f>WEEKNUM(CleanData[[#This Row],[Date]])</f>
        <v>25</v>
      </c>
      <c r="J420">
        <f>IF(CleanData[[#This Row],[Revenue]]&gt;=CleanData[[#This Row],[Target]],1,0)</f>
        <v>0</v>
      </c>
      <c r="K420">
        <f>IF(CleanData[[#This Row],[Attendance_Status]]="Present",1,0)</f>
        <v>1</v>
      </c>
    </row>
    <row r="421" spans="1:11" x14ac:dyDescent="0.3">
      <c r="A421" t="s">
        <v>68</v>
      </c>
      <c r="B421" t="s">
        <v>27</v>
      </c>
      <c r="C421" t="s">
        <v>22</v>
      </c>
      <c r="D421">
        <v>9</v>
      </c>
      <c r="E421">
        <v>26996</v>
      </c>
      <c r="F421">
        <v>14471</v>
      </c>
      <c r="G421" t="s">
        <v>10</v>
      </c>
      <c r="H421" t="str">
        <f>TEXT(CleanData[[#This Row],[Date]],"mmm")</f>
        <v>Jun</v>
      </c>
      <c r="I421">
        <f>WEEKNUM(CleanData[[#This Row],[Date]])</f>
        <v>25</v>
      </c>
      <c r="J421">
        <f>IF(CleanData[[#This Row],[Revenue]]&gt;=CleanData[[#This Row],[Target]],1,0)</f>
        <v>1</v>
      </c>
      <c r="K421">
        <f>IF(CleanData[[#This Row],[Attendance_Status]]="Present",1,0)</f>
        <v>1</v>
      </c>
    </row>
    <row r="422" spans="1:11" x14ac:dyDescent="0.3">
      <c r="A422" t="s">
        <v>191</v>
      </c>
      <c r="B422" t="s">
        <v>79</v>
      </c>
      <c r="C422" t="s">
        <v>9</v>
      </c>
      <c r="D422">
        <v>5</v>
      </c>
      <c r="E422">
        <v>16812</v>
      </c>
      <c r="F422">
        <v>11550</v>
      </c>
      <c r="G422" t="s">
        <v>10</v>
      </c>
      <c r="H422" t="str">
        <f>TEXT(CleanData[[#This Row],[Date]],"mmm")</f>
        <v>Mar</v>
      </c>
      <c r="I422">
        <f>WEEKNUM(CleanData[[#This Row],[Date]])</f>
        <v>9</v>
      </c>
      <c r="J422">
        <f>IF(CleanData[[#This Row],[Revenue]]&gt;=CleanData[[#This Row],[Target]],1,0)</f>
        <v>1</v>
      </c>
      <c r="K422">
        <f>IF(CleanData[[#This Row],[Attendance_Status]]="Present",1,0)</f>
        <v>1</v>
      </c>
    </row>
    <row r="423" spans="1:11" x14ac:dyDescent="0.3">
      <c r="A423" t="s">
        <v>204</v>
      </c>
      <c r="B423" t="s">
        <v>40</v>
      </c>
      <c r="C423" t="s">
        <v>9</v>
      </c>
      <c r="D423">
        <v>6</v>
      </c>
      <c r="E423">
        <v>10176</v>
      </c>
      <c r="F423">
        <v>14178</v>
      </c>
      <c r="G423" t="s">
        <v>10</v>
      </c>
      <c r="H423" t="str">
        <f>TEXT(CleanData[[#This Row],[Date]],"mmm")</f>
        <v>Jun</v>
      </c>
      <c r="I423">
        <f>WEEKNUM(CleanData[[#This Row],[Date]])</f>
        <v>26</v>
      </c>
      <c r="J423">
        <f>IF(CleanData[[#This Row],[Revenue]]&gt;=CleanData[[#This Row],[Target]],1,0)</f>
        <v>0</v>
      </c>
      <c r="K423">
        <f>IF(CleanData[[#This Row],[Attendance_Status]]="Present",1,0)</f>
        <v>1</v>
      </c>
    </row>
    <row r="424" spans="1:11" x14ac:dyDescent="0.3">
      <c r="A424" t="s">
        <v>167</v>
      </c>
      <c r="B424" t="s">
        <v>42</v>
      </c>
      <c r="C424" t="s">
        <v>9</v>
      </c>
      <c r="D424">
        <v>24</v>
      </c>
      <c r="E424">
        <v>16472</v>
      </c>
      <c r="F424">
        <v>19558</v>
      </c>
      <c r="G424" t="s">
        <v>10</v>
      </c>
      <c r="H424" t="str">
        <f>TEXT(CleanData[[#This Row],[Date]],"mmm")</f>
        <v>May</v>
      </c>
      <c r="I424">
        <f>WEEKNUM(CleanData[[#This Row],[Date]])</f>
        <v>19</v>
      </c>
      <c r="J424">
        <f>IF(CleanData[[#This Row],[Revenue]]&gt;=CleanData[[#This Row],[Target]],1,0)</f>
        <v>0</v>
      </c>
      <c r="K424">
        <f>IF(CleanData[[#This Row],[Attendance_Status]]="Present",1,0)</f>
        <v>1</v>
      </c>
    </row>
    <row r="425" spans="1:11" x14ac:dyDescent="0.3">
      <c r="A425" t="s">
        <v>206</v>
      </c>
      <c r="B425" t="s">
        <v>19</v>
      </c>
      <c r="C425" t="s">
        <v>13</v>
      </c>
      <c r="D425">
        <v>11</v>
      </c>
      <c r="E425">
        <v>8166</v>
      </c>
      <c r="F425">
        <v>23087</v>
      </c>
      <c r="G425" t="s">
        <v>10</v>
      </c>
      <c r="H425" t="str">
        <f>TEXT(CleanData[[#This Row],[Date]],"mmm")</f>
        <v>Jun</v>
      </c>
      <c r="I425">
        <f>WEEKNUM(CleanData[[#This Row],[Date]])</f>
        <v>25</v>
      </c>
      <c r="J425">
        <f>IF(CleanData[[#This Row],[Revenue]]&gt;=CleanData[[#This Row],[Target]],1,0)</f>
        <v>0</v>
      </c>
      <c r="K425">
        <f>IF(CleanData[[#This Row],[Attendance_Status]]="Present",1,0)</f>
        <v>1</v>
      </c>
    </row>
    <row r="426" spans="1:11" x14ac:dyDescent="0.3">
      <c r="A426" t="s">
        <v>78</v>
      </c>
      <c r="B426" t="s">
        <v>101</v>
      </c>
      <c r="C426" t="s">
        <v>22</v>
      </c>
      <c r="D426">
        <v>10</v>
      </c>
      <c r="E426">
        <v>27019</v>
      </c>
      <c r="F426">
        <v>18536</v>
      </c>
      <c r="G426" t="s">
        <v>10</v>
      </c>
      <c r="H426" t="str">
        <f>TEXT(CleanData[[#This Row],[Date]],"mmm")</f>
        <v>Apr</v>
      </c>
      <c r="I426">
        <f>WEEKNUM(CleanData[[#This Row],[Date]])</f>
        <v>15</v>
      </c>
      <c r="J426">
        <f>IF(CleanData[[#This Row],[Revenue]]&gt;=CleanData[[#This Row],[Target]],1,0)</f>
        <v>1</v>
      </c>
      <c r="K426">
        <f>IF(CleanData[[#This Row],[Attendance_Status]]="Present",1,0)</f>
        <v>1</v>
      </c>
    </row>
    <row r="427" spans="1:11" x14ac:dyDescent="0.3">
      <c r="A427" t="s">
        <v>66</v>
      </c>
      <c r="B427" t="s">
        <v>35</v>
      </c>
      <c r="C427" t="s">
        <v>22</v>
      </c>
      <c r="D427">
        <v>17</v>
      </c>
      <c r="E427">
        <v>20743</v>
      </c>
      <c r="F427">
        <v>14626</v>
      </c>
      <c r="G427" t="s">
        <v>10</v>
      </c>
      <c r="H427" t="str">
        <f>TEXT(CleanData[[#This Row],[Date]],"mmm")</f>
        <v>Jun</v>
      </c>
      <c r="I427">
        <f>WEEKNUM(CleanData[[#This Row],[Date]])</f>
        <v>24</v>
      </c>
      <c r="J427">
        <f>IF(CleanData[[#This Row],[Revenue]]&gt;=CleanData[[#This Row],[Target]],1,0)</f>
        <v>1</v>
      </c>
      <c r="K427">
        <f>IF(CleanData[[#This Row],[Attendance_Status]]="Present",1,0)</f>
        <v>1</v>
      </c>
    </row>
    <row r="428" spans="1:11" x14ac:dyDescent="0.3">
      <c r="A428" t="s">
        <v>207</v>
      </c>
      <c r="B428" t="s">
        <v>25</v>
      </c>
      <c r="C428" t="s">
        <v>9</v>
      </c>
      <c r="D428">
        <v>22</v>
      </c>
      <c r="E428">
        <v>11412</v>
      </c>
      <c r="F428">
        <v>17792</v>
      </c>
      <c r="G428" t="s">
        <v>10</v>
      </c>
      <c r="H428" t="str">
        <f>TEXT(CleanData[[#This Row],[Date]],"mmm")</f>
        <v>Mar</v>
      </c>
      <c r="I428">
        <f>WEEKNUM(CleanData[[#This Row],[Date]])</f>
        <v>12</v>
      </c>
      <c r="J428">
        <f>IF(CleanData[[#This Row],[Revenue]]&gt;=CleanData[[#This Row],[Target]],1,0)</f>
        <v>0</v>
      </c>
      <c r="K428">
        <f>IF(CleanData[[#This Row],[Attendance_Status]]="Present",1,0)</f>
        <v>1</v>
      </c>
    </row>
    <row r="429" spans="1:11" x14ac:dyDescent="0.3">
      <c r="A429" t="s">
        <v>183</v>
      </c>
      <c r="B429" t="s">
        <v>50</v>
      </c>
      <c r="C429" t="s">
        <v>13</v>
      </c>
      <c r="D429">
        <v>22</v>
      </c>
      <c r="E429">
        <v>28515</v>
      </c>
      <c r="F429">
        <v>16275</v>
      </c>
      <c r="G429" t="s">
        <v>10</v>
      </c>
      <c r="H429" t="str">
        <f>TEXT(CleanData[[#This Row],[Date]],"mmm")</f>
        <v>Mar</v>
      </c>
      <c r="I429">
        <f>WEEKNUM(CleanData[[#This Row],[Date]])</f>
        <v>10</v>
      </c>
      <c r="J429">
        <f>IF(CleanData[[#This Row],[Revenue]]&gt;=CleanData[[#This Row],[Target]],1,0)</f>
        <v>1</v>
      </c>
      <c r="K429">
        <f>IF(CleanData[[#This Row],[Attendance_Status]]="Present",1,0)</f>
        <v>1</v>
      </c>
    </row>
    <row r="430" spans="1:11" x14ac:dyDescent="0.3">
      <c r="A430" t="s">
        <v>98</v>
      </c>
      <c r="B430" t="s">
        <v>40</v>
      </c>
      <c r="C430" t="s">
        <v>13</v>
      </c>
      <c r="D430">
        <v>22</v>
      </c>
      <c r="E430">
        <v>19891</v>
      </c>
      <c r="F430">
        <v>17828</v>
      </c>
      <c r="G430" t="s">
        <v>10</v>
      </c>
      <c r="H430" t="str">
        <f>TEXT(CleanData[[#This Row],[Date]],"mmm")</f>
        <v>Mar</v>
      </c>
      <c r="I430">
        <f>WEEKNUM(CleanData[[#This Row],[Date]])</f>
        <v>10</v>
      </c>
      <c r="J430">
        <f>IF(CleanData[[#This Row],[Revenue]]&gt;=CleanData[[#This Row],[Target]],1,0)</f>
        <v>1</v>
      </c>
      <c r="K430">
        <f>IF(CleanData[[#This Row],[Attendance_Status]]="Present",1,0)</f>
        <v>1</v>
      </c>
    </row>
    <row r="431" spans="1:11" x14ac:dyDescent="0.3">
      <c r="A431" t="s">
        <v>34</v>
      </c>
      <c r="B431" t="s">
        <v>21</v>
      </c>
      <c r="C431" t="s">
        <v>13</v>
      </c>
      <c r="D431">
        <v>5</v>
      </c>
      <c r="E431">
        <v>24489</v>
      </c>
      <c r="F431">
        <v>17518</v>
      </c>
      <c r="G431" t="s">
        <v>10</v>
      </c>
      <c r="H431" t="str">
        <f>TEXT(CleanData[[#This Row],[Date]],"mmm")</f>
        <v>Jan</v>
      </c>
      <c r="I431">
        <f>WEEKNUM(CleanData[[#This Row],[Date]])</f>
        <v>1</v>
      </c>
      <c r="J431">
        <f>IF(CleanData[[#This Row],[Revenue]]&gt;=CleanData[[#This Row],[Target]],1,0)</f>
        <v>1</v>
      </c>
      <c r="K431">
        <f>IF(CleanData[[#This Row],[Attendance_Status]]="Present",1,0)</f>
        <v>1</v>
      </c>
    </row>
    <row r="432" spans="1:11" x14ac:dyDescent="0.3">
      <c r="A432" t="s">
        <v>176</v>
      </c>
      <c r="B432" t="s">
        <v>48</v>
      </c>
      <c r="C432" t="s">
        <v>9</v>
      </c>
      <c r="D432">
        <v>8</v>
      </c>
      <c r="E432">
        <v>13104</v>
      </c>
      <c r="F432">
        <v>11888</v>
      </c>
      <c r="G432" t="s">
        <v>10</v>
      </c>
      <c r="H432" t="str">
        <f>TEXT(CleanData[[#This Row],[Date]],"mmm")</f>
        <v>Mar</v>
      </c>
      <c r="I432">
        <f>WEEKNUM(CleanData[[#This Row],[Date]])</f>
        <v>13</v>
      </c>
      <c r="J432">
        <f>IF(CleanData[[#This Row],[Revenue]]&gt;=CleanData[[#This Row],[Target]],1,0)</f>
        <v>1</v>
      </c>
      <c r="K432">
        <f>IF(CleanData[[#This Row],[Attendance_Status]]="Present",1,0)</f>
        <v>1</v>
      </c>
    </row>
    <row r="433" spans="1:11" x14ac:dyDescent="0.3">
      <c r="A433" t="s">
        <v>208</v>
      </c>
      <c r="B433" t="s">
        <v>56</v>
      </c>
      <c r="C433" t="s">
        <v>13</v>
      </c>
      <c r="D433">
        <v>10</v>
      </c>
      <c r="E433">
        <v>8194</v>
      </c>
      <c r="F433">
        <v>19753</v>
      </c>
      <c r="G433" t="s">
        <v>10</v>
      </c>
      <c r="H433" t="str">
        <f>TEXT(CleanData[[#This Row],[Date]],"mmm")</f>
        <v>Apr</v>
      </c>
      <c r="I433">
        <f>WEEKNUM(CleanData[[#This Row],[Date]])</f>
        <v>18</v>
      </c>
      <c r="J433">
        <f>IF(CleanData[[#This Row],[Revenue]]&gt;=CleanData[[#This Row],[Target]],1,0)</f>
        <v>0</v>
      </c>
      <c r="K433">
        <f>IF(CleanData[[#This Row],[Attendance_Status]]="Present",1,0)</f>
        <v>1</v>
      </c>
    </row>
    <row r="434" spans="1:11" x14ac:dyDescent="0.3">
      <c r="A434" t="s">
        <v>44</v>
      </c>
      <c r="B434" t="s">
        <v>73</v>
      </c>
      <c r="C434" t="s">
        <v>9</v>
      </c>
      <c r="D434">
        <v>18</v>
      </c>
      <c r="E434">
        <v>9273</v>
      </c>
      <c r="F434">
        <v>16765</v>
      </c>
      <c r="G434" t="s">
        <v>26</v>
      </c>
      <c r="H434" t="str">
        <f>TEXT(CleanData[[#This Row],[Date]],"mmm")</f>
        <v>Mar</v>
      </c>
      <c r="I434">
        <f>WEEKNUM(CleanData[[#This Row],[Date]])</f>
        <v>13</v>
      </c>
      <c r="J434">
        <f>IF(CleanData[[#This Row],[Revenue]]&gt;=CleanData[[#This Row],[Target]],1,0)</f>
        <v>0</v>
      </c>
      <c r="K434">
        <f>IF(CleanData[[#This Row],[Attendance_Status]]="Present",1,0)</f>
        <v>0</v>
      </c>
    </row>
    <row r="435" spans="1:11" x14ac:dyDescent="0.3">
      <c r="A435" t="s">
        <v>71</v>
      </c>
      <c r="B435" t="s">
        <v>50</v>
      </c>
      <c r="C435" t="s">
        <v>13</v>
      </c>
      <c r="D435">
        <v>16</v>
      </c>
      <c r="E435">
        <v>22405</v>
      </c>
      <c r="F435">
        <v>14279</v>
      </c>
      <c r="G435" t="s">
        <v>10</v>
      </c>
      <c r="H435" t="str">
        <f>TEXT(CleanData[[#This Row],[Date]],"mmm")</f>
        <v>Apr</v>
      </c>
      <c r="I435">
        <f>WEEKNUM(CleanData[[#This Row],[Date]])</f>
        <v>14</v>
      </c>
      <c r="J435">
        <f>IF(CleanData[[#This Row],[Revenue]]&gt;=CleanData[[#This Row],[Target]],1,0)</f>
        <v>1</v>
      </c>
      <c r="K435">
        <f>IF(CleanData[[#This Row],[Attendance_Status]]="Present",1,0)</f>
        <v>1</v>
      </c>
    </row>
    <row r="436" spans="1:11" x14ac:dyDescent="0.3">
      <c r="A436" t="s">
        <v>163</v>
      </c>
      <c r="B436" t="s">
        <v>120</v>
      </c>
      <c r="C436" t="s">
        <v>13</v>
      </c>
      <c r="D436">
        <v>15</v>
      </c>
      <c r="E436">
        <v>24304</v>
      </c>
      <c r="F436">
        <v>11878</v>
      </c>
      <c r="G436" t="s">
        <v>10</v>
      </c>
      <c r="H436" t="str">
        <f>TEXT(CleanData[[#This Row],[Date]],"mmm")</f>
        <v>Jan</v>
      </c>
      <c r="I436">
        <f>WEEKNUM(CleanData[[#This Row],[Date]])</f>
        <v>2</v>
      </c>
      <c r="J436">
        <f>IF(CleanData[[#This Row],[Revenue]]&gt;=CleanData[[#This Row],[Target]],1,0)</f>
        <v>1</v>
      </c>
      <c r="K436">
        <f>IF(CleanData[[#This Row],[Attendance_Status]]="Present",1,0)</f>
        <v>1</v>
      </c>
    </row>
    <row r="437" spans="1:11" x14ac:dyDescent="0.3">
      <c r="A437" t="s">
        <v>57</v>
      </c>
      <c r="B437" t="s">
        <v>56</v>
      </c>
      <c r="C437" t="s">
        <v>22</v>
      </c>
      <c r="D437">
        <v>14</v>
      </c>
      <c r="E437">
        <v>16776</v>
      </c>
      <c r="F437">
        <v>12046</v>
      </c>
      <c r="G437" t="s">
        <v>10</v>
      </c>
      <c r="H437" t="str">
        <f>TEXT(CleanData[[#This Row],[Date]],"mmm")</f>
        <v>Jun</v>
      </c>
      <c r="I437">
        <f>WEEKNUM(CleanData[[#This Row],[Date]])</f>
        <v>25</v>
      </c>
      <c r="J437">
        <f>IF(CleanData[[#This Row],[Revenue]]&gt;=CleanData[[#This Row],[Target]],1,0)</f>
        <v>1</v>
      </c>
      <c r="K437">
        <f>IF(CleanData[[#This Row],[Attendance_Status]]="Present",1,0)</f>
        <v>1</v>
      </c>
    </row>
    <row r="438" spans="1:11" x14ac:dyDescent="0.3">
      <c r="A438" t="s">
        <v>128</v>
      </c>
      <c r="B438" t="s">
        <v>56</v>
      </c>
      <c r="C438" t="s">
        <v>9</v>
      </c>
      <c r="D438">
        <v>6</v>
      </c>
      <c r="E438">
        <v>8761</v>
      </c>
      <c r="F438">
        <v>13030</v>
      </c>
      <c r="G438" t="s">
        <v>10</v>
      </c>
      <c r="H438" t="str">
        <f>TEXT(CleanData[[#This Row],[Date]],"mmm")</f>
        <v>Jan</v>
      </c>
      <c r="I438">
        <f>WEEKNUM(CleanData[[#This Row],[Date]])</f>
        <v>4</v>
      </c>
      <c r="J438">
        <f>IF(CleanData[[#This Row],[Revenue]]&gt;=CleanData[[#This Row],[Target]],1,0)</f>
        <v>0</v>
      </c>
      <c r="K438">
        <f>IF(CleanData[[#This Row],[Attendance_Status]]="Present",1,0)</f>
        <v>1</v>
      </c>
    </row>
    <row r="439" spans="1:11" x14ac:dyDescent="0.3">
      <c r="A439" t="s">
        <v>59</v>
      </c>
      <c r="B439" t="s">
        <v>12</v>
      </c>
      <c r="C439" t="s">
        <v>13</v>
      </c>
      <c r="D439">
        <v>21</v>
      </c>
      <c r="E439">
        <v>12851</v>
      </c>
      <c r="F439">
        <v>18097</v>
      </c>
      <c r="G439" t="s">
        <v>10</v>
      </c>
      <c r="H439" t="str">
        <f>TEXT(CleanData[[#This Row],[Date]],"mmm")</f>
        <v>Mar</v>
      </c>
      <c r="I439">
        <f>WEEKNUM(CleanData[[#This Row],[Date]])</f>
        <v>12</v>
      </c>
      <c r="J439">
        <f>IF(CleanData[[#This Row],[Revenue]]&gt;=CleanData[[#This Row],[Target]],1,0)</f>
        <v>0</v>
      </c>
      <c r="K439">
        <f>IF(CleanData[[#This Row],[Attendance_Status]]="Present",1,0)</f>
        <v>1</v>
      </c>
    </row>
    <row r="440" spans="1:11" x14ac:dyDescent="0.3">
      <c r="A440" t="s">
        <v>177</v>
      </c>
      <c r="B440" t="s">
        <v>8</v>
      </c>
      <c r="C440" t="s">
        <v>22</v>
      </c>
      <c r="D440">
        <v>8</v>
      </c>
      <c r="E440">
        <v>19229</v>
      </c>
      <c r="F440">
        <v>20192</v>
      </c>
      <c r="G440" t="s">
        <v>26</v>
      </c>
      <c r="H440" t="str">
        <f>TEXT(CleanData[[#This Row],[Date]],"mmm")</f>
        <v>Mar</v>
      </c>
      <c r="I440">
        <f>WEEKNUM(CleanData[[#This Row],[Date]])</f>
        <v>13</v>
      </c>
      <c r="J440">
        <f>IF(CleanData[[#This Row],[Revenue]]&gt;=CleanData[[#This Row],[Target]],1,0)</f>
        <v>0</v>
      </c>
      <c r="K440">
        <f>IF(CleanData[[#This Row],[Attendance_Status]]="Present",1,0)</f>
        <v>0</v>
      </c>
    </row>
    <row r="441" spans="1:11" x14ac:dyDescent="0.3">
      <c r="A441" t="s">
        <v>208</v>
      </c>
      <c r="B441" t="s">
        <v>69</v>
      </c>
      <c r="C441" t="s">
        <v>22</v>
      </c>
      <c r="D441">
        <v>14</v>
      </c>
      <c r="E441">
        <v>11568</v>
      </c>
      <c r="F441">
        <v>10977</v>
      </c>
      <c r="G441" t="s">
        <v>10</v>
      </c>
      <c r="H441" t="str">
        <f>TEXT(CleanData[[#This Row],[Date]],"mmm")</f>
        <v>Apr</v>
      </c>
      <c r="I441">
        <f>WEEKNUM(CleanData[[#This Row],[Date]])</f>
        <v>18</v>
      </c>
      <c r="J441">
        <f>IF(CleanData[[#This Row],[Revenue]]&gt;=CleanData[[#This Row],[Target]],1,0)</f>
        <v>1</v>
      </c>
      <c r="K441">
        <f>IF(CleanData[[#This Row],[Attendance_Status]]="Present",1,0)</f>
        <v>1</v>
      </c>
    </row>
    <row r="442" spans="1:11" x14ac:dyDescent="0.3">
      <c r="A442" t="s">
        <v>39</v>
      </c>
      <c r="B442" t="s">
        <v>54</v>
      </c>
      <c r="C442" t="s">
        <v>13</v>
      </c>
      <c r="D442">
        <v>17</v>
      </c>
      <c r="E442">
        <v>21277</v>
      </c>
      <c r="F442">
        <v>18942</v>
      </c>
      <c r="G442" t="s">
        <v>10</v>
      </c>
      <c r="H442" t="str">
        <f>TEXT(CleanData[[#This Row],[Date]],"mmm")</f>
        <v>Feb</v>
      </c>
      <c r="I442">
        <f>WEEKNUM(CleanData[[#This Row],[Date]])</f>
        <v>8</v>
      </c>
      <c r="J442">
        <f>IF(CleanData[[#This Row],[Revenue]]&gt;=CleanData[[#This Row],[Target]],1,0)</f>
        <v>1</v>
      </c>
      <c r="K442">
        <f>IF(CleanData[[#This Row],[Attendance_Status]]="Present",1,0)</f>
        <v>1</v>
      </c>
    </row>
    <row r="443" spans="1:11" x14ac:dyDescent="0.3">
      <c r="A443" t="s">
        <v>204</v>
      </c>
      <c r="B443" t="s">
        <v>42</v>
      </c>
      <c r="C443" t="s">
        <v>9</v>
      </c>
      <c r="D443">
        <v>12</v>
      </c>
      <c r="E443">
        <v>11025</v>
      </c>
      <c r="F443">
        <v>13486</v>
      </c>
      <c r="G443" t="s">
        <v>26</v>
      </c>
      <c r="H443" t="str">
        <f>TEXT(CleanData[[#This Row],[Date]],"mmm")</f>
        <v>Jun</v>
      </c>
      <c r="I443">
        <f>WEEKNUM(CleanData[[#This Row],[Date]])</f>
        <v>26</v>
      </c>
      <c r="J443">
        <f>IF(CleanData[[#This Row],[Revenue]]&gt;=CleanData[[#This Row],[Target]],1,0)</f>
        <v>0</v>
      </c>
      <c r="K443">
        <f>IF(CleanData[[#This Row],[Attendance_Status]]="Present",1,0)</f>
        <v>0</v>
      </c>
    </row>
    <row r="444" spans="1:11" x14ac:dyDescent="0.3">
      <c r="A444" t="s">
        <v>114</v>
      </c>
      <c r="B444" t="s">
        <v>79</v>
      </c>
      <c r="C444" t="s">
        <v>13</v>
      </c>
      <c r="D444">
        <v>9</v>
      </c>
      <c r="E444">
        <v>19519</v>
      </c>
      <c r="F444">
        <v>17600</v>
      </c>
      <c r="G444" t="s">
        <v>10</v>
      </c>
      <c r="H444" t="str">
        <f>TEXT(CleanData[[#This Row],[Date]],"mmm")</f>
        <v>May</v>
      </c>
      <c r="I444">
        <f>WEEKNUM(CleanData[[#This Row],[Date]])</f>
        <v>20</v>
      </c>
      <c r="J444">
        <f>IF(CleanData[[#This Row],[Revenue]]&gt;=CleanData[[#This Row],[Target]],1,0)</f>
        <v>1</v>
      </c>
      <c r="K444">
        <f>IF(CleanData[[#This Row],[Attendance_Status]]="Present",1,0)</f>
        <v>1</v>
      </c>
    </row>
    <row r="445" spans="1:11" x14ac:dyDescent="0.3">
      <c r="A445" t="s">
        <v>209</v>
      </c>
      <c r="B445" t="s">
        <v>25</v>
      </c>
      <c r="C445" t="s">
        <v>22</v>
      </c>
      <c r="D445">
        <v>8</v>
      </c>
      <c r="E445">
        <v>28540</v>
      </c>
      <c r="F445">
        <v>11605</v>
      </c>
      <c r="G445" t="s">
        <v>10</v>
      </c>
      <c r="H445" t="str">
        <f>TEXT(CleanData[[#This Row],[Date]],"mmm")</f>
        <v>Feb</v>
      </c>
      <c r="I445">
        <f>WEEKNUM(CleanData[[#This Row],[Date]])</f>
        <v>5</v>
      </c>
      <c r="J445">
        <f>IF(CleanData[[#This Row],[Revenue]]&gt;=CleanData[[#This Row],[Target]],1,0)</f>
        <v>1</v>
      </c>
      <c r="K445">
        <f>IF(CleanData[[#This Row],[Attendance_Status]]="Present",1,0)</f>
        <v>1</v>
      </c>
    </row>
    <row r="446" spans="1:11" x14ac:dyDescent="0.3">
      <c r="A446" t="s">
        <v>200</v>
      </c>
      <c r="B446" t="s">
        <v>69</v>
      </c>
      <c r="C446" t="s">
        <v>22</v>
      </c>
      <c r="D446">
        <v>15</v>
      </c>
      <c r="E446">
        <v>26196</v>
      </c>
      <c r="F446">
        <v>12944</v>
      </c>
      <c r="G446" t="s">
        <v>10</v>
      </c>
      <c r="H446" t="str">
        <f>TEXT(CleanData[[#This Row],[Date]],"mmm")</f>
        <v>May</v>
      </c>
      <c r="I446">
        <f>WEEKNUM(CleanData[[#This Row],[Date]])</f>
        <v>19</v>
      </c>
      <c r="J446">
        <f>IF(CleanData[[#This Row],[Revenue]]&gt;=CleanData[[#This Row],[Target]],1,0)</f>
        <v>1</v>
      </c>
      <c r="K446">
        <f>IF(CleanData[[#This Row],[Attendance_Status]]="Present",1,0)</f>
        <v>1</v>
      </c>
    </row>
    <row r="447" spans="1:11" x14ac:dyDescent="0.3">
      <c r="A447" t="s">
        <v>208</v>
      </c>
      <c r="B447" t="s">
        <v>19</v>
      </c>
      <c r="C447" t="s">
        <v>13</v>
      </c>
      <c r="D447">
        <v>7</v>
      </c>
      <c r="E447">
        <v>22329</v>
      </c>
      <c r="F447">
        <v>18560</v>
      </c>
      <c r="G447" t="s">
        <v>10</v>
      </c>
      <c r="H447" t="str">
        <f>TEXT(CleanData[[#This Row],[Date]],"mmm")</f>
        <v>Apr</v>
      </c>
      <c r="I447">
        <f>WEEKNUM(CleanData[[#This Row],[Date]])</f>
        <v>18</v>
      </c>
      <c r="J447">
        <f>IF(CleanData[[#This Row],[Revenue]]&gt;=CleanData[[#This Row],[Target]],1,0)</f>
        <v>1</v>
      </c>
      <c r="K447">
        <f>IF(CleanData[[#This Row],[Attendance_Status]]="Present",1,0)</f>
        <v>1</v>
      </c>
    </row>
    <row r="448" spans="1:11" x14ac:dyDescent="0.3">
      <c r="A448" t="s">
        <v>20</v>
      </c>
      <c r="B448" t="s">
        <v>29</v>
      </c>
      <c r="C448" t="s">
        <v>13</v>
      </c>
      <c r="D448">
        <v>16</v>
      </c>
      <c r="E448">
        <v>9954</v>
      </c>
      <c r="F448">
        <v>24343</v>
      </c>
      <c r="G448" t="s">
        <v>10</v>
      </c>
      <c r="H448" t="str">
        <f>TEXT(CleanData[[#This Row],[Date]],"mmm")</f>
        <v>Feb</v>
      </c>
      <c r="I448">
        <f>WEEKNUM(CleanData[[#This Row],[Date]])</f>
        <v>9</v>
      </c>
      <c r="J448">
        <f>IF(CleanData[[#This Row],[Revenue]]&gt;=CleanData[[#This Row],[Target]],1,0)</f>
        <v>0</v>
      </c>
      <c r="K448">
        <f>IF(CleanData[[#This Row],[Attendance_Status]]="Present",1,0)</f>
        <v>1</v>
      </c>
    </row>
    <row r="449" spans="1:11" x14ac:dyDescent="0.3">
      <c r="A449" t="s">
        <v>190</v>
      </c>
      <c r="B449" t="s">
        <v>64</v>
      </c>
      <c r="C449" t="s">
        <v>13</v>
      </c>
      <c r="D449">
        <v>23</v>
      </c>
      <c r="E449">
        <v>16250</v>
      </c>
      <c r="F449">
        <v>19965</v>
      </c>
      <c r="G449" t="s">
        <v>26</v>
      </c>
      <c r="H449" t="str">
        <f>TEXT(CleanData[[#This Row],[Date]],"mmm")</f>
        <v>Feb</v>
      </c>
      <c r="I449">
        <f>WEEKNUM(CleanData[[#This Row],[Date]])</f>
        <v>6</v>
      </c>
      <c r="J449">
        <f>IF(CleanData[[#This Row],[Revenue]]&gt;=CleanData[[#This Row],[Target]],1,0)</f>
        <v>0</v>
      </c>
      <c r="K449">
        <f>IF(CleanData[[#This Row],[Attendance_Status]]="Present",1,0)</f>
        <v>0</v>
      </c>
    </row>
    <row r="450" spans="1:11" x14ac:dyDescent="0.3">
      <c r="A450" t="s">
        <v>168</v>
      </c>
      <c r="B450" t="s">
        <v>73</v>
      </c>
      <c r="C450" t="s">
        <v>13</v>
      </c>
      <c r="D450">
        <v>17</v>
      </c>
      <c r="E450">
        <v>20985</v>
      </c>
      <c r="F450">
        <v>11118</v>
      </c>
      <c r="G450" t="s">
        <v>10</v>
      </c>
      <c r="H450" t="str">
        <f>TEXT(CleanData[[#This Row],[Date]],"mmm")</f>
        <v>Mar</v>
      </c>
      <c r="I450">
        <f>WEEKNUM(CleanData[[#This Row],[Date]])</f>
        <v>13</v>
      </c>
      <c r="J450">
        <f>IF(CleanData[[#This Row],[Revenue]]&gt;=CleanData[[#This Row],[Target]],1,0)</f>
        <v>1</v>
      </c>
      <c r="K450">
        <f>IF(CleanData[[#This Row],[Attendance_Status]]="Present",1,0)</f>
        <v>1</v>
      </c>
    </row>
    <row r="451" spans="1:11" x14ac:dyDescent="0.3">
      <c r="A451" t="s">
        <v>87</v>
      </c>
      <c r="B451" t="s">
        <v>17</v>
      </c>
      <c r="C451" t="s">
        <v>22</v>
      </c>
      <c r="D451">
        <v>8</v>
      </c>
      <c r="E451">
        <v>12751</v>
      </c>
      <c r="F451">
        <v>11292</v>
      </c>
      <c r="G451" t="s">
        <v>10</v>
      </c>
      <c r="H451" t="str">
        <f>TEXT(CleanData[[#This Row],[Date]],"mmm")</f>
        <v>May</v>
      </c>
      <c r="I451">
        <f>WEEKNUM(CleanData[[#This Row],[Date]])</f>
        <v>18</v>
      </c>
      <c r="J451">
        <f>IF(CleanData[[#This Row],[Revenue]]&gt;=CleanData[[#This Row],[Target]],1,0)</f>
        <v>1</v>
      </c>
      <c r="K451">
        <f>IF(CleanData[[#This Row],[Attendance_Status]]="Present",1,0)</f>
        <v>1</v>
      </c>
    </row>
    <row r="452" spans="1:11" x14ac:dyDescent="0.3">
      <c r="A452" t="s">
        <v>51</v>
      </c>
      <c r="B452" t="s">
        <v>54</v>
      </c>
      <c r="C452" t="s">
        <v>9</v>
      </c>
      <c r="D452">
        <v>13</v>
      </c>
      <c r="E452">
        <v>26277</v>
      </c>
      <c r="F452">
        <v>21298</v>
      </c>
      <c r="G452" t="s">
        <v>10</v>
      </c>
      <c r="H452" t="str">
        <f>TEXT(CleanData[[#This Row],[Date]],"mmm")</f>
        <v>Apr</v>
      </c>
      <c r="I452">
        <f>WEEKNUM(CleanData[[#This Row],[Date]])</f>
        <v>16</v>
      </c>
      <c r="J452">
        <f>IF(CleanData[[#This Row],[Revenue]]&gt;=CleanData[[#This Row],[Target]],1,0)</f>
        <v>1</v>
      </c>
      <c r="K452">
        <f>IF(CleanData[[#This Row],[Attendance_Status]]="Present",1,0)</f>
        <v>1</v>
      </c>
    </row>
    <row r="453" spans="1:11" x14ac:dyDescent="0.3">
      <c r="A453" t="s">
        <v>206</v>
      </c>
      <c r="B453" t="s">
        <v>64</v>
      </c>
      <c r="C453" t="s">
        <v>9</v>
      </c>
      <c r="D453">
        <v>20</v>
      </c>
      <c r="E453">
        <v>6052</v>
      </c>
      <c r="F453">
        <v>12834</v>
      </c>
      <c r="G453" t="s">
        <v>10</v>
      </c>
      <c r="H453" t="str">
        <f>TEXT(CleanData[[#This Row],[Date]],"mmm")</f>
        <v>Jun</v>
      </c>
      <c r="I453">
        <f>WEEKNUM(CleanData[[#This Row],[Date]])</f>
        <v>25</v>
      </c>
      <c r="J453">
        <f>IF(CleanData[[#This Row],[Revenue]]&gt;=CleanData[[#This Row],[Target]],1,0)</f>
        <v>0</v>
      </c>
      <c r="K453">
        <f>IF(CleanData[[#This Row],[Attendance_Status]]="Present",1,0)</f>
        <v>1</v>
      </c>
    </row>
    <row r="454" spans="1:11" x14ac:dyDescent="0.3">
      <c r="A454" t="s">
        <v>183</v>
      </c>
      <c r="B454" t="s">
        <v>75</v>
      </c>
      <c r="C454" t="s">
        <v>9</v>
      </c>
      <c r="D454">
        <v>18</v>
      </c>
      <c r="E454">
        <v>13953</v>
      </c>
      <c r="F454">
        <v>16179</v>
      </c>
      <c r="G454" t="s">
        <v>10</v>
      </c>
      <c r="H454" t="str">
        <f>TEXT(CleanData[[#This Row],[Date]],"mmm")</f>
        <v>Mar</v>
      </c>
      <c r="I454">
        <f>WEEKNUM(CleanData[[#This Row],[Date]])</f>
        <v>10</v>
      </c>
      <c r="J454">
        <f>IF(CleanData[[#This Row],[Revenue]]&gt;=CleanData[[#This Row],[Target]],1,0)</f>
        <v>0</v>
      </c>
      <c r="K454">
        <f>IF(CleanData[[#This Row],[Attendance_Status]]="Present",1,0)</f>
        <v>1</v>
      </c>
    </row>
    <row r="455" spans="1:11" x14ac:dyDescent="0.3">
      <c r="A455" t="s">
        <v>207</v>
      </c>
      <c r="B455" t="s">
        <v>17</v>
      </c>
      <c r="C455" t="s">
        <v>22</v>
      </c>
      <c r="D455">
        <v>10</v>
      </c>
      <c r="E455">
        <v>16849</v>
      </c>
      <c r="F455">
        <v>13125</v>
      </c>
      <c r="G455" t="s">
        <v>10</v>
      </c>
      <c r="H455" t="str">
        <f>TEXT(CleanData[[#This Row],[Date]],"mmm")</f>
        <v>Mar</v>
      </c>
      <c r="I455">
        <f>WEEKNUM(CleanData[[#This Row],[Date]])</f>
        <v>12</v>
      </c>
      <c r="J455">
        <f>IF(CleanData[[#This Row],[Revenue]]&gt;=CleanData[[#This Row],[Target]],1,0)</f>
        <v>1</v>
      </c>
      <c r="K455">
        <f>IF(CleanData[[#This Row],[Attendance_Status]]="Present",1,0)</f>
        <v>1</v>
      </c>
    </row>
    <row r="456" spans="1:11" x14ac:dyDescent="0.3">
      <c r="A456" t="s">
        <v>174</v>
      </c>
      <c r="B456" t="s">
        <v>52</v>
      </c>
      <c r="C456" t="s">
        <v>13</v>
      </c>
      <c r="D456">
        <v>12</v>
      </c>
      <c r="E456">
        <v>29395</v>
      </c>
      <c r="F456">
        <v>10911</v>
      </c>
      <c r="G456" t="s">
        <v>10</v>
      </c>
      <c r="H456" t="str">
        <f>TEXT(CleanData[[#This Row],[Date]],"mmm")</f>
        <v>Mar</v>
      </c>
      <c r="I456">
        <f>WEEKNUM(CleanData[[#This Row],[Date]])</f>
        <v>9</v>
      </c>
      <c r="J456">
        <f>IF(CleanData[[#This Row],[Revenue]]&gt;=CleanData[[#This Row],[Target]],1,0)</f>
        <v>1</v>
      </c>
      <c r="K456">
        <f>IF(CleanData[[#This Row],[Attendance_Status]]="Present",1,0)</f>
        <v>1</v>
      </c>
    </row>
    <row r="457" spans="1:11" x14ac:dyDescent="0.3">
      <c r="A457" t="s">
        <v>165</v>
      </c>
      <c r="B457" t="s">
        <v>92</v>
      </c>
      <c r="C457" t="s">
        <v>22</v>
      </c>
      <c r="D457">
        <v>8</v>
      </c>
      <c r="E457">
        <v>11743</v>
      </c>
      <c r="F457">
        <v>15047</v>
      </c>
      <c r="G457" t="s">
        <v>10</v>
      </c>
      <c r="H457" t="str">
        <f>TEXT(CleanData[[#This Row],[Date]],"mmm")</f>
        <v>Feb</v>
      </c>
      <c r="I457">
        <f>WEEKNUM(CleanData[[#This Row],[Date]])</f>
        <v>9</v>
      </c>
      <c r="J457">
        <f>IF(CleanData[[#This Row],[Revenue]]&gt;=CleanData[[#This Row],[Target]],1,0)</f>
        <v>0</v>
      </c>
      <c r="K457">
        <f>IF(CleanData[[#This Row],[Attendance_Status]]="Present",1,0)</f>
        <v>1</v>
      </c>
    </row>
    <row r="458" spans="1:11" x14ac:dyDescent="0.3">
      <c r="A458" t="s">
        <v>18</v>
      </c>
      <c r="B458" t="s">
        <v>73</v>
      </c>
      <c r="C458" t="s">
        <v>22</v>
      </c>
      <c r="D458">
        <v>8</v>
      </c>
      <c r="E458">
        <v>29075</v>
      </c>
      <c r="F458">
        <v>11721</v>
      </c>
      <c r="G458" t="s">
        <v>10</v>
      </c>
      <c r="H458" t="str">
        <f>TEXT(CleanData[[#This Row],[Date]],"mmm")</f>
        <v>Apr</v>
      </c>
      <c r="I458">
        <f>WEEKNUM(CleanData[[#This Row],[Date]])</f>
        <v>17</v>
      </c>
      <c r="J458">
        <f>IF(CleanData[[#This Row],[Revenue]]&gt;=CleanData[[#This Row],[Target]],1,0)</f>
        <v>1</v>
      </c>
      <c r="K458">
        <f>IF(CleanData[[#This Row],[Attendance_Status]]="Present",1,0)</f>
        <v>1</v>
      </c>
    </row>
    <row r="459" spans="1:11" x14ac:dyDescent="0.3">
      <c r="A459" t="s">
        <v>122</v>
      </c>
      <c r="B459" t="s">
        <v>27</v>
      </c>
      <c r="C459" t="s">
        <v>22</v>
      </c>
      <c r="D459">
        <v>7</v>
      </c>
      <c r="E459">
        <v>16180</v>
      </c>
      <c r="F459">
        <v>23294</v>
      </c>
      <c r="G459" t="s">
        <v>10</v>
      </c>
      <c r="H459" t="str">
        <f>TEXT(CleanData[[#This Row],[Date]],"mmm")</f>
        <v>Feb</v>
      </c>
      <c r="I459">
        <f>WEEKNUM(CleanData[[#This Row],[Date]])</f>
        <v>6</v>
      </c>
      <c r="J459">
        <f>IF(CleanData[[#This Row],[Revenue]]&gt;=CleanData[[#This Row],[Target]],1,0)</f>
        <v>0</v>
      </c>
      <c r="K459">
        <f>IF(CleanData[[#This Row],[Attendance_Status]]="Present",1,0)</f>
        <v>1</v>
      </c>
    </row>
    <row r="460" spans="1:11" x14ac:dyDescent="0.3">
      <c r="A460" t="s">
        <v>163</v>
      </c>
      <c r="B460" t="s">
        <v>54</v>
      </c>
      <c r="C460" t="s">
        <v>22</v>
      </c>
      <c r="D460">
        <v>5</v>
      </c>
      <c r="E460">
        <v>10681</v>
      </c>
      <c r="F460">
        <v>19556</v>
      </c>
      <c r="G460" t="s">
        <v>26</v>
      </c>
      <c r="H460" t="str">
        <f>TEXT(CleanData[[#This Row],[Date]],"mmm")</f>
        <v>Jan</v>
      </c>
      <c r="I460">
        <f>WEEKNUM(CleanData[[#This Row],[Date]])</f>
        <v>2</v>
      </c>
      <c r="J460">
        <f>IF(CleanData[[#This Row],[Revenue]]&gt;=CleanData[[#This Row],[Target]],1,0)</f>
        <v>0</v>
      </c>
      <c r="K460">
        <f>IF(CleanData[[#This Row],[Attendance_Status]]="Present",1,0)</f>
        <v>0</v>
      </c>
    </row>
    <row r="461" spans="1:11" x14ac:dyDescent="0.3">
      <c r="A461" t="s">
        <v>159</v>
      </c>
      <c r="B461" t="s">
        <v>29</v>
      </c>
      <c r="C461" t="s">
        <v>13</v>
      </c>
      <c r="D461">
        <v>8</v>
      </c>
      <c r="E461">
        <v>21024</v>
      </c>
      <c r="F461">
        <v>15087</v>
      </c>
      <c r="G461" t="s">
        <v>10</v>
      </c>
      <c r="H461" t="str">
        <f>TEXT(CleanData[[#This Row],[Date]],"mmm")</f>
        <v>May</v>
      </c>
      <c r="I461">
        <f>WEEKNUM(CleanData[[#This Row],[Date]])</f>
        <v>18</v>
      </c>
      <c r="J461">
        <f>IF(CleanData[[#This Row],[Revenue]]&gt;=CleanData[[#This Row],[Target]],1,0)</f>
        <v>1</v>
      </c>
      <c r="K461">
        <f>IF(CleanData[[#This Row],[Attendance_Status]]="Present",1,0)</f>
        <v>1</v>
      </c>
    </row>
    <row r="462" spans="1:11" x14ac:dyDescent="0.3">
      <c r="A462" t="s">
        <v>165</v>
      </c>
      <c r="B462" t="s">
        <v>37</v>
      </c>
      <c r="C462" t="s">
        <v>22</v>
      </c>
      <c r="D462">
        <v>16</v>
      </c>
      <c r="E462">
        <v>10848</v>
      </c>
      <c r="F462">
        <v>11256</v>
      </c>
      <c r="G462" t="s">
        <v>10</v>
      </c>
      <c r="H462" t="str">
        <f>TEXT(CleanData[[#This Row],[Date]],"mmm")</f>
        <v>Feb</v>
      </c>
      <c r="I462">
        <f>WEEKNUM(CleanData[[#This Row],[Date]])</f>
        <v>9</v>
      </c>
      <c r="J462">
        <f>IF(CleanData[[#This Row],[Revenue]]&gt;=CleanData[[#This Row],[Target]],1,0)</f>
        <v>0</v>
      </c>
      <c r="K462">
        <f>IF(CleanData[[#This Row],[Attendance_Status]]="Present",1,0)</f>
        <v>1</v>
      </c>
    </row>
    <row r="463" spans="1:11" x14ac:dyDescent="0.3">
      <c r="A463" t="s">
        <v>192</v>
      </c>
      <c r="B463" t="s">
        <v>25</v>
      </c>
      <c r="C463" t="s">
        <v>13</v>
      </c>
      <c r="D463">
        <v>7</v>
      </c>
      <c r="E463">
        <v>9260</v>
      </c>
      <c r="F463">
        <v>24077</v>
      </c>
      <c r="G463" t="s">
        <v>10</v>
      </c>
      <c r="H463" t="str">
        <f>TEXT(CleanData[[#This Row],[Date]],"mmm")</f>
        <v>Jan</v>
      </c>
      <c r="I463">
        <f>WEEKNUM(CleanData[[#This Row],[Date]])</f>
        <v>3</v>
      </c>
      <c r="J463">
        <f>IF(CleanData[[#This Row],[Revenue]]&gt;=CleanData[[#This Row],[Target]],1,0)</f>
        <v>0</v>
      </c>
      <c r="K463">
        <f>IF(CleanData[[#This Row],[Attendance_Status]]="Present",1,0)</f>
        <v>1</v>
      </c>
    </row>
    <row r="464" spans="1:11" x14ac:dyDescent="0.3">
      <c r="A464" t="s">
        <v>153</v>
      </c>
      <c r="B464" t="s">
        <v>54</v>
      </c>
      <c r="C464" t="s">
        <v>22</v>
      </c>
      <c r="D464">
        <v>5</v>
      </c>
      <c r="E464">
        <v>13914</v>
      </c>
      <c r="F464">
        <v>18784</v>
      </c>
      <c r="G464" t="s">
        <v>10</v>
      </c>
      <c r="H464" t="str">
        <f>TEXT(CleanData[[#This Row],[Date]],"mmm")</f>
        <v>Apr</v>
      </c>
      <c r="I464">
        <f>WEEKNUM(CleanData[[#This Row],[Date]])</f>
        <v>15</v>
      </c>
      <c r="J464">
        <f>IF(CleanData[[#This Row],[Revenue]]&gt;=CleanData[[#This Row],[Target]],1,0)</f>
        <v>0</v>
      </c>
      <c r="K464">
        <f>IF(CleanData[[#This Row],[Attendance_Status]]="Present",1,0)</f>
        <v>1</v>
      </c>
    </row>
    <row r="465" spans="1:11" x14ac:dyDescent="0.3">
      <c r="A465" t="s">
        <v>196</v>
      </c>
      <c r="B465" t="s">
        <v>8</v>
      </c>
      <c r="C465" t="s">
        <v>9</v>
      </c>
      <c r="D465">
        <v>18</v>
      </c>
      <c r="E465">
        <v>12790</v>
      </c>
      <c r="F465">
        <v>21020</v>
      </c>
      <c r="G465" t="s">
        <v>10</v>
      </c>
      <c r="H465" t="str">
        <f>TEXT(CleanData[[#This Row],[Date]],"mmm")</f>
        <v>Apr</v>
      </c>
      <c r="I465">
        <f>WEEKNUM(CleanData[[#This Row],[Date]])</f>
        <v>17</v>
      </c>
      <c r="J465">
        <f>IF(CleanData[[#This Row],[Revenue]]&gt;=CleanData[[#This Row],[Target]],1,0)</f>
        <v>0</v>
      </c>
      <c r="K465">
        <f>IF(CleanData[[#This Row],[Attendance_Status]]="Present",1,0)</f>
        <v>1</v>
      </c>
    </row>
    <row r="466" spans="1:11" x14ac:dyDescent="0.3">
      <c r="A466" t="s">
        <v>143</v>
      </c>
      <c r="B466" t="s">
        <v>54</v>
      </c>
      <c r="C466" t="s">
        <v>22</v>
      </c>
      <c r="D466">
        <v>5</v>
      </c>
      <c r="E466">
        <v>29967</v>
      </c>
      <c r="F466">
        <v>16581</v>
      </c>
      <c r="G466" t="s">
        <v>10</v>
      </c>
      <c r="H466" t="str">
        <f>TEXT(CleanData[[#This Row],[Date]],"mmm")</f>
        <v>Jan</v>
      </c>
      <c r="I466">
        <f>WEEKNUM(CleanData[[#This Row],[Date]])</f>
        <v>2</v>
      </c>
      <c r="J466">
        <f>IF(CleanData[[#This Row],[Revenue]]&gt;=CleanData[[#This Row],[Target]],1,0)</f>
        <v>1</v>
      </c>
      <c r="K466">
        <f>IF(CleanData[[#This Row],[Attendance_Status]]="Present",1,0)</f>
        <v>1</v>
      </c>
    </row>
    <row r="467" spans="1:11" x14ac:dyDescent="0.3">
      <c r="A467" t="s">
        <v>173</v>
      </c>
      <c r="B467" t="s">
        <v>46</v>
      </c>
      <c r="C467" t="s">
        <v>13</v>
      </c>
      <c r="D467">
        <v>16</v>
      </c>
      <c r="E467">
        <v>21016</v>
      </c>
      <c r="F467">
        <v>19544</v>
      </c>
      <c r="G467" t="s">
        <v>26</v>
      </c>
      <c r="H467" t="str">
        <f>TEXT(CleanData[[#This Row],[Date]],"mmm")</f>
        <v>Jun</v>
      </c>
      <c r="I467">
        <f>WEEKNUM(CleanData[[#This Row],[Date]])</f>
        <v>23</v>
      </c>
      <c r="J467">
        <f>IF(CleanData[[#This Row],[Revenue]]&gt;=CleanData[[#This Row],[Target]],1,0)</f>
        <v>1</v>
      </c>
      <c r="K467">
        <f>IF(CleanData[[#This Row],[Attendance_Status]]="Present",1,0)</f>
        <v>0</v>
      </c>
    </row>
    <row r="468" spans="1:11" x14ac:dyDescent="0.3">
      <c r="A468" t="s">
        <v>82</v>
      </c>
      <c r="B468" t="s">
        <v>31</v>
      </c>
      <c r="C468" t="s">
        <v>22</v>
      </c>
      <c r="D468">
        <v>24</v>
      </c>
      <c r="E468">
        <v>21160</v>
      </c>
      <c r="F468">
        <v>22009</v>
      </c>
      <c r="G468" t="s">
        <v>10</v>
      </c>
      <c r="H468" t="str">
        <f>TEXT(CleanData[[#This Row],[Date]],"mmm")</f>
        <v>Jan</v>
      </c>
      <c r="I468">
        <f>WEEKNUM(CleanData[[#This Row],[Date]])</f>
        <v>2</v>
      </c>
      <c r="J468">
        <f>IF(CleanData[[#This Row],[Revenue]]&gt;=CleanData[[#This Row],[Target]],1,0)</f>
        <v>0</v>
      </c>
      <c r="K468">
        <f>IF(CleanData[[#This Row],[Attendance_Status]]="Present",1,0)</f>
        <v>1</v>
      </c>
    </row>
    <row r="469" spans="1:11" x14ac:dyDescent="0.3">
      <c r="A469" t="s">
        <v>99</v>
      </c>
      <c r="B469" t="s">
        <v>42</v>
      </c>
      <c r="C469" t="s">
        <v>9</v>
      </c>
      <c r="D469">
        <v>5</v>
      </c>
      <c r="E469">
        <v>16803</v>
      </c>
      <c r="F469">
        <v>11570</v>
      </c>
      <c r="G469" t="s">
        <v>10</v>
      </c>
      <c r="H469" t="str">
        <f>TEXT(CleanData[[#This Row],[Date]],"mmm")</f>
        <v>May</v>
      </c>
      <c r="I469">
        <f>WEEKNUM(CleanData[[#This Row],[Date]])</f>
        <v>22</v>
      </c>
      <c r="J469">
        <f>IF(CleanData[[#This Row],[Revenue]]&gt;=CleanData[[#This Row],[Target]],1,0)</f>
        <v>1</v>
      </c>
      <c r="K469">
        <f>IF(CleanData[[#This Row],[Attendance_Status]]="Present",1,0)</f>
        <v>1</v>
      </c>
    </row>
    <row r="470" spans="1:11" x14ac:dyDescent="0.3">
      <c r="A470" t="s">
        <v>145</v>
      </c>
      <c r="B470" t="s">
        <v>69</v>
      </c>
      <c r="C470" t="s">
        <v>9</v>
      </c>
      <c r="D470">
        <v>5</v>
      </c>
      <c r="E470">
        <v>12197</v>
      </c>
      <c r="F470">
        <v>16427</v>
      </c>
      <c r="G470" t="s">
        <v>10</v>
      </c>
      <c r="H470" t="str">
        <f>TEXT(CleanData[[#This Row],[Date]],"mmm")</f>
        <v>Feb</v>
      </c>
      <c r="I470">
        <f>WEEKNUM(CleanData[[#This Row],[Date]])</f>
        <v>7</v>
      </c>
      <c r="J470">
        <f>IF(CleanData[[#This Row],[Revenue]]&gt;=CleanData[[#This Row],[Target]],1,0)</f>
        <v>0</v>
      </c>
      <c r="K470">
        <f>IF(CleanData[[#This Row],[Attendance_Status]]="Present",1,0)</f>
        <v>1</v>
      </c>
    </row>
    <row r="471" spans="1:11" x14ac:dyDescent="0.3">
      <c r="A471" t="s">
        <v>105</v>
      </c>
      <c r="B471" t="s">
        <v>35</v>
      </c>
      <c r="C471" t="s">
        <v>22</v>
      </c>
      <c r="D471">
        <v>13</v>
      </c>
      <c r="E471">
        <v>29494</v>
      </c>
      <c r="F471">
        <v>22682</v>
      </c>
      <c r="G471" t="s">
        <v>10</v>
      </c>
      <c r="H471" t="str">
        <f>TEXT(CleanData[[#This Row],[Date]],"mmm")</f>
        <v>May</v>
      </c>
      <c r="I471">
        <f>WEEKNUM(CleanData[[#This Row],[Date]])</f>
        <v>21</v>
      </c>
      <c r="J471">
        <f>IF(CleanData[[#This Row],[Revenue]]&gt;=CleanData[[#This Row],[Target]],1,0)</f>
        <v>1</v>
      </c>
      <c r="K471">
        <f>IF(CleanData[[#This Row],[Attendance_Status]]="Present",1,0)</f>
        <v>1</v>
      </c>
    </row>
    <row r="472" spans="1:11" x14ac:dyDescent="0.3">
      <c r="A472" t="s">
        <v>154</v>
      </c>
      <c r="B472" t="s">
        <v>21</v>
      </c>
      <c r="C472" t="s">
        <v>13</v>
      </c>
      <c r="D472">
        <v>23</v>
      </c>
      <c r="E472">
        <v>11567</v>
      </c>
      <c r="F472">
        <v>16599</v>
      </c>
      <c r="G472" t="s">
        <v>26</v>
      </c>
      <c r="H472" t="str">
        <f>TEXT(CleanData[[#This Row],[Date]],"mmm")</f>
        <v>Jun</v>
      </c>
      <c r="I472">
        <f>WEEKNUM(CleanData[[#This Row],[Date]])</f>
        <v>24</v>
      </c>
      <c r="J472">
        <f>IF(CleanData[[#This Row],[Revenue]]&gt;=CleanData[[#This Row],[Target]],1,0)</f>
        <v>0</v>
      </c>
      <c r="K472">
        <f>IF(CleanData[[#This Row],[Attendance_Status]]="Present",1,0)</f>
        <v>0</v>
      </c>
    </row>
    <row r="473" spans="1:11" x14ac:dyDescent="0.3">
      <c r="A473" t="s">
        <v>58</v>
      </c>
      <c r="B473" t="s">
        <v>19</v>
      </c>
      <c r="C473" t="s">
        <v>13</v>
      </c>
      <c r="D473">
        <v>16</v>
      </c>
      <c r="E473">
        <v>21605</v>
      </c>
      <c r="F473">
        <v>13770</v>
      </c>
      <c r="G473" t="s">
        <v>10</v>
      </c>
      <c r="H473" t="str">
        <f>TEXT(CleanData[[#This Row],[Date]],"mmm")</f>
        <v>May</v>
      </c>
      <c r="I473">
        <f>WEEKNUM(CleanData[[#This Row],[Date]])</f>
        <v>21</v>
      </c>
      <c r="J473">
        <f>IF(CleanData[[#This Row],[Revenue]]&gt;=CleanData[[#This Row],[Target]],1,0)</f>
        <v>1</v>
      </c>
      <c r="K473">
        <f>IF(CleanData[[#This Row],[Attendance_Status]]="Present",1,0)</f>
        <v>1</v>
      </c>
    </row>
    <row r="474" spans="1:11" x14ac:dyDescent="0.3">
      <c r="A474" t="s">
        <v>116</v>
      </c>
      <c r="B474" t="s">
        <v>35</v>
      </c>
      <c r="C474" t="s">
        <v>22</v>
      </c>
      <c r="D474">
        <v>10</v>
      </c>
      <c r="E474">
        <v>9281</v>
      </c>
      <c r="F474">
        <v>24473</v>
      </c>
      <c r="G474" t="s">
        <v>10</v>
      </c>
      <c r="H474" t="str">
        <f>TEXT(CleanData[[#This Row],[Date]],"mmm")</f>
        <v>Jun</v>
      </c>
      <c r="I474">
        <f>WEEKNUM(CleanData[[#This Row],[Date]])</f>
        <v>22</v>
      </c>
      <c r="J474">
        <f>IF(CleanData[[#This Row],[Revenue]]&gt;=CleanData[[#This Row],[Target]],1,0)</f>
        <v>0</v>
      </c>
      <c r="K474">
        <f>IF(CleanData[[#This Row],[Attendance_Status]]="Present",1,0)</f>
        <v>1</v>
      </c>
    </row>
    <row r="475" spans="1:11" x14ac:dyDescent="0.3">
      <c r="A475" t="s">
        <v>107</v>
      </c>
      <c r="B475" t="s">
        <v>54</v>
      </c>
      <c r="C475" t="s">
        <v>13</v>
      </c>
      <c r="D475">
        <v>7</v>
      </c>
      <c r="E475">
        <v>27710</v>
      </c>
      <c r="F475">
        <v>20005</v>
      </c>
      <c r="G475" t="s">
        <v>10</v>
      </c>
      <c r="H475" t="str">
        <f>TEXT(CleanData[[#This Row],[Date]],"mmm")</f>
        <v>Mar</v>
      </c>
      <c r="I475">
        <f>WEEKNUM(CleanData[[#This Row],[Date]])</f>
        <v>12</v>
      </c>
      <c r="J475">
        <f>IF(CleanData[[#This Row],[Revenue]]&gt;=CleanData[[#This Row],[Target]],1,0)</f>
        <v>1</v>
      </c>
      <c r="K475">
        <f>IF(CleanData[[#This Row],[Attendance_Status]]="Present",1,0)</f>
        <v>1</v>
      </c>
    </row>
    <row r="476" spans="1:11" x14ac:dyDescent="0.3">
      <c r="A476" t="s">
        <v>134</v>
      </c>
      <c r="B476" t="s">
        <v>17</v>
      </c>
      <c r="C476" t="s">
        <v>13</v>
      </c>
      <c r="D476">
        <v>23</v>
      </c>
      <c r="E476">
        <v>8254</v>
      </c>
      <c r="F476">
        <v>19525</v>
      </c>
      <c r="G476" t="s">
        <v>10</v>
      </c>
      <c r="H476" t="str">
        <f>TEXT(CleanData[[#This Row],[Date]],"mmm")</f>
        <v>Feb</v>
      </c>
      <c r="I476">
        <f>WEEKNUM(CleanData[[#This Row],[Date]])</f>
        <v>6</v>
      </c>
      <c r="J476">
        <f>IF(CleanData[[#This Row],[Revenue]]&gt;=CleanData[[#This Row],[Target]],1,0)</f>
        <v>0</v>
      </c>
      <c r="K476">
        <f>IF(CleanData[[#This Row],[Attendance_Status]]="Present",1,0)</f>
        <v>1</v>
      </c>
    </row>
    <row r="477" spans="1:11" x14ac:dyDescent="0.3">
      <c r="A477" t="s">
        <v>108</v>
      </c>
      <c r="B477" t="s">
        <v>17</v>
      </c>
      <c r="C477" t="s">
        <v>22</v>
      </c>
      <c r="D477">
        <v>9</v>
      </c>
      <c r="E477">
        <v>10178</v>
      </c>
      <c r="F477">
        <v>23873</v>
      </c>
      <c r="G477" t="s">
        <v>10</v>
      </c>
      <c r="H477" t="str">
        <f>TEXT(CleanData[[#This Row],[Date]],"mmm")</f>
        <v>Apr</v>
      </c>
      <c r="I477">
        <f>WEEKNUM(CleanData[[#This Row],[Date]])</f>
        <v>15</v>
      </c>
      <c r="J477">
        <f>IF(CleanData[[#This Row],[Revenue]]&gt;=CleanData[[#This Row],[Target]],1,0)</f>
        <v>0</v>
      </c>
      <c r="K477">
        <f>IF(CleanData[[#This Row],[Attendance_Status]]="Present",1,0)</f>
        <v>1</v>
      </c>
    </row>
    <row r="478" spans="1:11" x14ac:dyDescent="0.3">
      <c r="A478" t="s">
        <v>167</v>
      </c>
      <c r="B478" t="s">
        <v>56</v>
      </c>
      <c r="C478" t="s">
        <v>13</v>
      </c>
      <c r="D478">
        <v>22</v>
      </c>
      <c r="E478">
        <v>27721</v>
      </c>
      <c r="F478">
        <v>17738</v>
      </c>
      <c r="G478" t="s">
        <v>26</v>
      </c>
      <c r="H478" t="str">
        <f>TEXT(CleanData[[#This Row],[Date]],"mmm")</f>
        <v>May</v>
      </c>
      <c r="I478">
        <f>WEEKNUM(CleanData[[#This Row],[Date]])</f>
        <v>19</v>
      </c>
      <c r="J478">
        <f>IF(CleanData[[#This Row],[Revenue]]&gt;=CleanData[[#This Row],[Target]],1,0)</f>
        <v>1</v>
      </c>
      <c r="K478">
        <f>IF(CleanData[[#This Row],[Attendance_Status]]="Present",1,0)</f>
        <v>0</v>
      </c>
    </row>
    <row r="479" spans="1:11" x14ac:dyDescent="0.3">
      <c r="A479" t="s">
        <v>94</v>
      </c>
      <c r="B479" t="s">
        <v>101</v>
      </c>
      <c r="C479" t="s">
        <v>9</v>
      </c>
      <c r="D479">
        <v>14</v>
      </c>
      <c r="E479">
        <v>20311</v>
      </c>
      <c r="F479">
        <v>18660</v>
      </c>
      <c r="G479" t="s">
        <v>10</v>
      </c>
      <c r="H479" t="str">
        <f>TEXT(CleanData[[#This Row],[Date]],"mmm")</f>
        <v>Feb</v>
      </c>
      <c r="I479">
        <f>WEEKNUM(CleanData[[#This Row],[Date]])</f>
        <v>5</v>
      </c>
      <c r="J479">
        <f>IF(CleanData[[#This Row],[Revenue]]&gt;=CleanData[[#This Row],[Target]],1,0)</f>
        <v>1</v>
      </c>
      <c r="K479">
        <f>IF(CleanData[[#This Row],[Attendance_Status]]="Present",1,0)</f>
        <v>1</v>
      </c>
    </row>
    <row r="480" spans="1:11" x14ac:dyDescent="0.3">
      <c r="A480" t="s">
        <v>155</v>
      </c>
      <c r="B480" t="s">
        <v>40</v>
      </c>
      <c r="C480" t="s">
        <v>13</v>
      </c>
      <c r="D480">
        <v>11</v>
      </c>
      <c r="E480">
        <v>20412</v>
      </c>
      <c r="F480">
        <v>16603</v>
      </c>
      <c r="G480" t="s">
        <v>26</v>
      </c>
      <c r="H480" t="str">
        <f>TEXT(CleanData[[#This Row],[Date]],"mmm")</f>
        <v>May</v>
      </c>
      <c r="I480">
        <f>WEEKNUM(CleanData[[#This Row],[Date]])</f>
        <v>20</v>
      </c>
      <c r="J480">
        <f>IF(CleanData[[#This Row],[Revenue]]&gt;=CleanData[[#This Row],[Target]],1,0)</f>
        <v>1</v>
      </c>
      <c r="K480">
        <f>IF(CleanData[[#This Row],[Attendance_Status]]="Present",1,0)</f>
        <v>0</v>
      </c>
    </row>
    <row r="481" spans="1:11" x14ac:dyDescent="0.3">
      <c r="A481" t="s">
        <v>138</v>
      </c>
      <c r="B481" t="s">
        <v>101</v>
      </c>
      <c r="C481" t="s">
        <v>22</v>
      </c>
      <c r="D481">
        <v>24</v>
      </c>
      <c r="E481">
        <v>28911</v>
      </c>
      <c r="F481">
        <v>23140</v>
      </c>
      <c r="G481" t="s">
        <v>10</v>
      </c>
      <c r="H481" t="str">
        <f>TEXT(CleanData[[#This Row],[Date]],"mmm")</f>
        <v>Apr</v>
      </c>
      <c r="I481">
        <f>WEEKNUM(CleanData[[#This Row],[Date]])</f>
        <v>14</v>
      </c>
      <c r="J481">
        <f>IF(CleanData[[#This Row],[Revenue]]&gt;=CleanData[[#This Row],[Target]],1,0)</f>
        <v>1</v>
      </c>
      <c r="K481">
        <f>IF(CleanData[[#This Row],[Attendance_Status]]="Present",1,0)</f>
        <v>1</v>
      </c>
    </row>
    <row r="482" spans="1:11" x14ac:dyDescent="0.3">
      <c r="A482" t="s">
        <v>89</v>
      </c>
      <c r="B482" t="s">
        <v>79</v>
      </c>
      <c r="C482" t="s">
        <v>13</v>
      </c>
      <c r="D482">
        <v>6</v>
      </c>
      <c r="E482">
        <v>24598</v>
      </c>
      <c r="F482">
        <v>21742</v>
      </c>
      <c r="G482" t="s">
        <v>10</v>
      </c>
      <c r="H482" t="str">
        <f>TEXT(CleanData[[#This Row],[Date]],"mmm")</f>
        <v>Jun</v>
      </c>
      <c r="I482">
        <f>WEEKNUM(CleanData[[#This Row],[Date]])</f>
        <v>23</v>
      </c>
      <c r="J482">
        <f>IF(CleanData[[#This Row],[Revenue]]&gt;=CleanData[[#This Row],[Target]],1,0)</f>
        <v>1</v>
      </c>
      <c r="K482">
        <f>IF(CleanData[[#This Row],[Attendance_Status]]="Present",1,0)</f>
        <v>1</v>
      </c>
    </row>
    <row r="483" spans="1:11" x14ac:dyDescent="0.3">
      <c r="A483" t="s">
        <v>208</v>
      </c>
      <c r="B483" t="s">
        <v>120</v>
      </c>
      <c r="C483" t="s">
        <v>22</v>
      </c>
      <c r="D483">
        <v>11</v>
      </c>
      <c r="E483">
        <v>26346</v>
      </c>
      <c r="F483">
        <v>17706</v>
      </c>
      <c r="G483" t="s">
        <v>10</v>
      </c>
      <c r="H483" t="str">
        <f>TEXT(CleanData[[#This Row],[Date]],"mmm")</f>
        <v>Apr</v>
      </c>
      <c r="I483">
        <f>WEEKNUM(CleanData[[#This Row],[Date]])</f>
        <v>18</v>
      </c>
      <c r="J483">
        <f>IF(CleanData[[#This Row],[Revenue]]&gt;=CleanData[[#This Row],[Target]],1,0)</f>
        <v>1</v>
      </c>
      <c r="K483">
        <f>IF(CleanData[[#This Row],[Attendance_Status]]="Present",1,0)</f>
        <v>1</v>
      </c>
    </row>
    <row r="484" spans="1:11" x14ac:dyDescent="0.3">
      <c r="A484" t="s">
        <v>136</v>
      </c>
      <c r="B484" t="s">
        <v>56</v>
      </c>
      <c r="C484" t="s">
        <v>9</v>
      </c>
      <c r="D484">
        <v>15</v>
      </c>
      <c r="E484">
        <v>18333</v>
      </c>
      <c r="F484">
        <v>11196</v>
      </c>
      <c r="G484" t="s">
        <v>10</v>
      </c>
      <c r="H484" t="str">
        <f>TEXT(CleanData[[#This Row],[Date]],"mmm")</f>
        <v>Mar</v>
      </c>
      <c r="I484">
        <f>WEEKNUM(CleanData[[#This Row],[Date]])</f>
        <v>11</v>
      </c>
      <c r="J484">
        <f>IF(CleanData[[#This Row],[Revenue]]&gt;=CleanData[[#This Row],[Target]],1,0)</f>
        <v>1</v>
      </c>
      <c r="K484">
        <f>IF(CleanData[[#This Row],[Attendance_Status]]="Present",1,0)</f>
        <v>1</v>
      </c>
    </row>
    <row r="485" spans="1:11" x14ac:dyDescent="0.3">
      <c r="A485" t="s">
        <v>89</v>
      </c>
      <c r="B485" t="s">
        <v>56</v>
      </c>
      <c r="C485" t="s">
        <v>13</v>
      </c>
      <c r="D485">
        <v>8</v>
      </c>
      <c r="E485">
        <v>11101</v>
      </c>
      <c r="F485">
        <v>17461</v>
      </c>
      <c r="G485" t="s">
        <v>10</v>
      </c>
      <c r="H485" t="str">
        <f>TEXT(CleanData[[#This Row],[Date]],"mmm")</f>
        <v>Jun</v>
      </c>
      <c r="I485">
        <f>WEEKNUM(CleanData[[#This Row],[Date]])</f>
        <v>23</v>
      </c>
      <c r="J485">
        <f>IF(CleanData[[#This Row],[Revenue]]&gt;=CleanData[[#This Row],[Target]],1,0)</f>
        <v>0</v>
      </c>
      <c r="K485">
        <f>IF(CleanData[[#This Row],[Attendance_Status]]="Present",1,0)</f>
        <v>1</v>
      </c>
    </row>
    <row r="486" spans="1:11" x14ac:dyDescent="0.3">
      <c r="A486" t="s">
        <v>127</v>
      </c>
      <c r="B486" t="s">
        <v>35</v>
      </c>
      <c r="C486" t="s">
        <v>22</v>
      </c>
      <c r="D486">
        <v>6</v>
      </c>
      <c r="E486">
        <v>8470</v>
      </c>
      <c r="F486">
        <v>22497</v>
      </c>
      <c r="G486" t="s">
        <v>10</v>
      </c>
      <c r="H486" t="str">
        <f>TEXT(CleanData[[#This Row],[Date]],"mmm")</f>
        <v>Jun</v>
      </c>
      <c r="I486">
        <f>WEEKNUM(CleanData[[#This Row],[Date]])</f>
        <v>25</v>
      </c>
      <c r="J486">
        <f>IF(CleanData[[#This Row],[Revenue]]&gt;=CleanData[[#This Row],[Target]],1,0)</f>
        <v>0</v>
      </c>
      <c r="K486">
        <f>IF(CleanData[[#This Row],[Attendance_Status]]="Present",1,0)</f>
        <v>1</v>
      </c>
    </row>
    <row r="487" spans="1:11" x14ac:dyDescent="0.3">
      <c r="A487" t="s">
        <v>191</v>
      </c>
      <c r="B487" t="s">
        <v>73</v>
      </c>
      <c r="C487" t="s">
        <v>13</v>
      </c>
      <c r="D487">
        <v>24</v>
      </c>
      <c r="E487">
        <v>29493</v>
      </c>
      <c r="F487">
        <v>13363</v>
      </c>
      <c r="G487" t="s">
        <v>10</v>
      </c>
      <c r="H487" t="str">
        <f>TEXT(CleanData[[#This Row],[Date]],"mmm")</f>
        <v>Mar</v>
      </c>
      <c r="I487">
        <f>WEEKNUM(CleanData[[#This Row],[Date]])</f>
        <v>9</v>
      </c>
      <c r="J487">
        <f>IF(CleanData[[#This Row],[Revenue]]&gt;=CleanData[[#This Row],[Target]],1,0)</f>
        <v>1</v>
      </c>
      <c r="K487">
        <f>IF(CleanData[[#This Row],[Attendance_Status]]="Present",1,0)</f>
        <v>1</v>
      </c>
    </row>
    <row r="488" spans="1:11" x14ac:dyDescent="0.3">
      <c r="A488" t="s">
        <v>205</v>
      </c>
      <c r="B488" t="s">
        <v>33</v>
      </c>
      <c r="C488" t="s">
        <v>22</v>
      </c>
      <c r="D488">
        <v>20</v>
      </c>
      <c r="E488">
        <v>13011</v>
      </c>
      <c r="F488">
        <v>14581</v>
      </c>
      <c r="G488" t="s">
        <v>10</v>
      </c>
      <c r="H488" t="str">
        <f>TEXT(CleanData[[#This Row],[Date]],"mmm")</f>
        <v>Apr</v>
      </c>
      <c r="I488">
        <f>WEEKNUM(CleanData[[#This Row],[Date]])</f>
        <v>16</v>
      </c>
      <c r="J488">
        <f>IF(CleanData[[#This Row],[Revenue]]&gt;=CleanData[[#This Row],[Target]],1,0)</f>
        <v>0</v>
      </c>
      <c r="K488">
        <f>IF(CleanData[[#This Row],[Attendance_Status]]="Present",1,0)</f>
        <v>1</v>
      </c>
    </row>
    <row r="489" spans="1:11" x14ac:dyDescent="0.3">
      <c r="A489" t="s">
        <v>94</v>
      </c>
      <c r="B489" t="s">
        <v>42</v>
      </c>
      <c r="C489" t="s">
        <v>22</v>
      </c>
      <c r="D489">
        <v>18</v>
      </c>
      <c r="E489">
        <v>29367</v>
      </c>
      <c r="F489">
        <v>22081</v>
      </c>
      <c r="G489" t="s">
        <v>10</v>
      </c>
      <c r="H489" t="str">
        <f>TEXT(CleanData[[#This Row],[Date]],"mmm")</f>
        <v>Feb</v>
      </c>
      <c r="I489">
        <f>WEEKNUM(CleanData[[#This Row],[Date]])</f>
        <v>5</v>
      </c>
      <c r="J489">
        <f>IF(CleanData[[#This Row],[Revenue]]&gt;=CleanData[[#This Row],[Target]],1,0)</f>
        <v>1</v>
      </c>
      <c r="K489">
        <f>IF(CleanData[[#This Row],[Attendance_Status]]="Present",1,0)</f>
        <v>1</v>
      </c>
    </row>
    <row r="490" spans="1:11" x14ac:dyDescent="0.3">
      <c r="A490" t="s">
        <v>11</v>
      </c>
      <c r="B490" t="s">
        <v>15</v>
      </c>
      <c r="C490" t="s">
        <v>22</v>
      </c>
      <c r="D490">
        <v>13</v>
      </c>
      <c r="E490">
        <v>26604</v>
      </c>
      <c r="F490">
        <v>17705</v>
      </c>
      <c r="G490" t="s">
        <v>10</v>
      </c>
      <c r="H490" t="str">
        <f>TEXT(CleanData[[#This Row],[Date]],"mmm")</f>
        <v>Jun</v>
      </c>
      <c r="I490">
        <f>WEEKNUM(CleanData[[#This Row],[Date]])</f>
        <v>23</v>
      </c>
      <c r="J490">
        <f>IF(CleanData[[#This Row],[Revenue]]&gt;=CleanData[[#This Row],[Target]],1,0)</f>
        <v>1</v>
      </c>
      <c r="K490">
        <f>IF(CleanData[[#This Row],[Attendance_Status]]="Present",1,0)</f>
        <v>1</v>
      </c>
    </row>
    <row r="491" spans="1:11" x14ac:dyDescent="0.3">
      <c r="A491" t="s">
        <v>197</v>
      </c>
      <c r="B491" t="s">
        <v>19</v>
      </c>
      <c r="C491" t="s">
        <v>13</v>
      </c>
      <c r="D491">
        <v>19</v>
      </c>
      <c r="E491">
        <v>15199</v>
      </c>
      <c r="F491">
        <v>24502</v>
      </c>
      <c r="G491" t="s">
        <v>10</v>
      </c>
      <c r="H491" t="str">
        <f>TEXT(CleanData[[#This Row],[Date]],"mmm")</f>
        <v>May</v>
      </c>
      <c r="I491">
        <f>WEEKNUM(CleanData[[#This Row],[Date]])</f>
        <v>21</v>
      </c>
      <c r="J491">
        <f>IF(CleanData[[#This Row],[Revenue]]&gt;=CleanData[[#This Row],[Target]],1,0)</f>
        <v>0</v>
      </c>
      <c r="K491">
        <f>IF(CleanData[[#This Row],[Attendance_Status]]="Present",1,0)</f>
        <v>1</v>
      </c>
    </row>
    <row r="492" spans="1:11" x14ac:dyDescent="0.3">
      <c r="A492" t="s">
        <v>192</v>
      </c>
      <c r="B492" t="s">
        <v>46</v>
      </c>
      <c r="C492" t="s">
        <v>13</v>
      </c>
      <c r="D492">
        <v>8</v>
      </c>
      <c r="E492">
        <v>25078</v>
      </c>
      <c r="F492">
        <v>14276</v>
      </c>
      <c r="G492" t="s">
        <v>26</v>
      </c>
      <c r="H492" t="str">
        <f>TEXT(CleanData[[#This Row],[Date]],"mmm")</f>
        <v>Jan</v>
      </c>
      <c r="I492">
        <f>WEEKNUM(CleanData[[#This Row],[Date]])</f>
        <v>3</v>
      </c>
      <c r="J492">
        <f>IF(CleanData[[#This Row],[Revenue]]&gt;=CleanData[[#This Row],[Target]],1,0)</f>
        <v>1</v>
      </c>
      <c r="K492">
        <f>IF(CleanData[[#This Row],[Attendance_Status]]="Present",1,0)</f>
        <v>0</v>
      </c>
    </row>
    <row r="493" spans="1:11" x14ac:dyDescent="0.3">
      <c r="A493" t="s">
        <v>63</v>
      </c>
      <c r="B493" t="s">
        <v>17</v>
      </c>
      <c r="C493" t="s">
        <v>22</v>
      </c>
      <c r="D493">
        <v>25</v>
      </c>
      <c r="E493">
        <v>16362</v>
      </c>
      <c r="F493">
        <v>24927</v>
      </c>
      <c r="G493" t="s">
        <v>10</v>
      </c>
      <c r="H493" t="str">
        <f>TEXT(CleanData[[#This Row],[Date]],"mmm")</f>
        <v>Jun</v>
      </c>
      <c r="I493">
        <f>WEEKNUM(CleanData[[#This Row],[Date]])</f>
        <v>24</v>
      </c>
      <c r="J493">
        <f>IF(CleanData[[#This Row],[Revenue]]&gt;=CleanData[[#This Row],[Target]],1,0)</f>
        <v>0</v>
      </c>
      <c r="K493">
        <f>IF(CleanData[[#This Row],[Attendance_Status]]="Present",1,0)</f>
        <v>1</v>
      </c>
    </row>
    <row r="494" spans="1:11" x14ac:dyDescent="0.3">
      <c r="A494" t="s">
        <v>137</v>
      </c>
      <c r="B494" t="s">
        <v>19</v>
      </c>
      <c r="C494" t="s">
        <v>22</v>
      </c>
      <c r="D494">
        <v>17</v>
      </c>
      <c r="E494">
        <v>11990</v>
      </c>
      <c r="F494">
        <v>10825</v>
      </c>
      <c r="G494" t="s">
        <v>10</v>
      </c>
      <c r="H494" t="str">
        <f>TEXT(CleanData[[#This Row],[Date]],"mmm")</f>
        <v>May</v>
      </c>
      <c r="I494">
        <f>WEEKNUM(CleanData[[#This Row],[Date]])</f>
        <v>18</v>
      </c>
      <c r="J494">
        <f>IF(CleanData[[#This Row],[Revenue]]&gt;=CleanData[[#This Row],[Target]],1,0)</f>
        <v>1</v>
      </c>
      <c r="K494">
        <f>IF(CleanData[[#This Row],[Attendance_Status]]="Present",1,0)</f>
        <v>1</v>
      </c>
    </row>
    <row r="495" spans="1:11" x14ac:dyDescent="0.3">
      <c r="A495" t="s">
        <v>207</v>
      </c>
      <c r="B495" t="s">
        <v>33</v>
      </c>
      <c r="C495" t="s">
        <v>22</v>
      </c>
      <c r="D495">
        <v>10</v>
      </c>
      <c r="E495">
        <v>17060</v>
      </c>
      <c r="F495">
        <v>13881</v>
      </c>
      <c r="G495" t="s">
        <v>10</v>
      </c>
      <c r="H495" t="str">
        <f>TEXT(CleanData[[#This Row],[Date]],"mmm")</f>
        <v>Mar</v>
      </c>
      <c r="I495">
        <f>WEEKNUM(CleanData[[#This Row],[Date]])</f>
        <v>12</v>
      </c>
      <c r="J495">
        <f>IF(CleanData[[#This Row],[Revenue]]&gt;=CleanData[[#This Row],[Target]],1,0)</f>
        <v>1</v>
      </c>
      <c r="K495">
        <f>IF(CleanData[[#This Row],[Attendance_Status]]="Present",1,0)</f>
        <v>1</v>
      </c>
    </row>
    <row r="496" spans="1:11" x14ac:dyDescent="0.3">
      <c r="A496" t="s">
        <v>118</v>
      </c>
      <c r="B496" t="s">
        <v>101</v>
      </c>
      <c r="C496" t="s">
        <v>9</v>
      </c>
      <c r="D496">
        <v>8</v>
      </c>
      <c r="E496">
        <v>20295</v>
      </c>
      <c r="F496">
        <v>11770</v>
      </c>
      <c r="G496" t="s">
        <v>10</v>
      </c>
      <c r="H496" t="str">
        <f>TEXT(CleanData[[#This Row],[Date]],"mmm")</f>
        <v>Jan</v>
      </c>
      <c r="I496">
        <f>WEEKNUM(CleanData[[#This Row],[Date]])</f>
        <v>4</v>
      </c>
      <c r="J496">
        <f>IF(CleanData[[#This Row],[Revenue]]&gt;=CleanData[[#This Row],[Target]],1,0)</f>
        <v>1</v>
      </c>
      <c r="K496">
        <f>IF(CleanData[[#This Row],[Attendance_Status]]="Present",1,0)</f>
        <v>1</v>
      </c>
    </row>
    <row r="497" spans="1:11" x14ac:dyDescent="0.3">
      <c r="A497" t="s">
        <v>53</v>
      </c>
      <c r="B497" t="s">
        <v>52</v>
      </c>
      <c r="C497" t="s">
        <v>9</v>
      </c>
      <c r="D497">
        <v>13</v>
      </c>
      <c r="E497">
        <v>6076</v>
      </c>
      <c r="F497">
        <v>13767</v>
      </c>
      <c r="G497" t="s">
        <v>10</v>
      </c>
      <c r="H497" t="str">
        <f>TEXT(CleanData[[#This Row],[Date]],"mmm")</f>
        <v>Jan</v>
      </c>
      <c r="I497">
        <f>WEEKNUM(CleanData[[#This Row],[Date]])</f>
        <v>1</v>
      </c>
      <c r="J497">
        <f>IF(CleanData[[#This Row],[Revenue]]&gt;=CleanData[[#This Row],[Target]],1,0)</f>
        <v>0</v>
      </c>
      <c r="K497">
        <f>IF(CleanData[[#This Row],[Attendance_Status]]="Present",1,0)</f>
        <v>1</v>
      </c>
    </row>
    <row r="498" spans="1:11" x14ac:dyDescent="0.3">
      <c r="A498" t="s">
        <v>207</v>
      </c>
      <c r="B498" t="s">
        <v>67</v>
      </c>
      <c r="C498" t="s">
        <v>9</v>
      </c>
      <c r="D498">
        <v>6</v>
      </c>
      <c r="E498">
        <v>12280</v>
      </c>
      <c r="F498">
        <v>15279</v>
      </c>
      <c r="G498" t="s">
        <v>10</v>
      </c>
      <c r="H498" t="str">
        <f>TEXT(CleanData[[#This Row],[Date]],"mmm")</f>
        <v>Mar</v>
      </c>
      <c r="I498">
        <f>WEEKNUM(CleanData[[#This Row],[Date]])</f>
        <v>12</v>
      </c>
      <c r="J498">
        <f>IF(CleanData[[#This Row],[Revenue]]&gt;=CleanData[[#This Row],[Target]],1,0)</f>
        <v>0</v>
      </c>
      <c r="K498">
        <f>IF(CleanData[[#This Row],[Attendance_Status]]="Present",1,0)</f>
        <v>1</v>
      </c>
    </row>
    <row r="499" spans="1:11" x14ac:dyDescent="0.3">
      <c r="A499" t="s">
        <v>167</v>
      </c>
      <c r="B499" t="s">
        <v>52</v>
      </c>
      <c r="C499" t="s">
        <v>22</v>
      </c>
      <c r="D499">
        <v>12</v>
      </c>
      <c r="E499">
        <v>13715</v>
      </c>
      <c r="F499">
        <v>10328</v>
      </c>
      <c r="G499" t="s">
        <v>10</v>
      </c>
      <c r="H499" t="str">
        <f>TEXT(CleanData[[#This Row],[Date]],"mmm")</f>
        <v>May</v>
      </c>
      <c r="I499">
        <f>WEEKNUM(CleanData[[#This Row],[Date]])</f>
        <v>19</v>
      </c>
      <c r="J499">
        <f>IF(CleanData[[#This Row],[Revenue]]&gt;=CleanData[[#This Row],[Target]],1,0)</f>
        <v>1</v>
      </c>
      <c r="K499">
        <f>IF(CleanData[[#This Row],[Attendance_Status]]="Present",1,0)</f>
        <v>1</v>
      </c>
    </row>
    <row r="500" spans="1:11" x14ac:dyDescent="0.3">
      <c r="A500" t="s">
        <v>116</v>
      </c>
      <c r="B500" t="s">
        <v>101</v>
      </c>
      <c r="C500" t="s">
        <v>9</v>
      </c>
      <c r="D500">
        <v>19</v>
      </c>
      <c r="E500">
        <v>5888</v>
      </c>
      <c r="F500">
        <v>19051</v>
      </c>
      <c r="G500" t="s">
        <v>10</v>
      </c>
      <c r="H500" t="str">
        <f>TEXT(CleanData[[#This Row],[Date]],"mmm")</f>
        <v>Jun</v>
      </c>
      <c r="I500">
        <f>WEEKNUM(CleanData[[#This Row],[Date]])</f>
        <v>22</v>
      </c>
      <c r="J500">
        <f>IF(CleanData[[#This Row],[Revenue]]&gt;=CleanData[[#This Row],[Target]],1,0)</f>
        <v>0</v>
      </c>
      <c r="K500">
        <f>IF(CleanData[[#This Row],[Attendance_Status]]="Present",1,0)</f>
        <v>1</v>
      </c>
    </row>
    <row r="501" spans="1:11" x14ac:dyDescent="0.3">
      <c r="A501" t="s">
        <v>152</v>
      </c>
      <c r="B501" t="s">
        <v>21</v>
      </c>
      <c r="C501" t="s">
        <v>22</v>
      </c>
      <c r="D501">
        <v>25</v>
      </c>
      <c r="E501">
        <v>11363</v>
      </c>
      <c r="F501">
        <v>20855</v>
      </c>
      <c r="G501" t="s">
        <v>10</v>
      </c>
      <c r="H501" t="str">
        <f>TEXT(CleanData[[#This Row],[Date]],"mmm")</f>
        <v>Jan</v>
      </c>
      <c r="I501">
        <f>WEEKNUM(CleanData[[#This Row],[Date]])</f>
        <v>2</v>
      </c>
      <c r="J501">
        <f>IF(CleanData[[#This Row],[Revenue]]&gt;=CleanData[[#This Row],[Target]],1,0)</f>
        <v>0</v>
      </c>
      <c r="K501">
        <f>IF(CleanData[[#This Row],[Attendance_Status]]="Present",1,0)</f>
        <v>1</v>
      </c>
    </row>
    <row r="502" spans="1:11" x14ac:dyDescent="0.3">
      <c r="A502" t="s">
        <v>100</v>
      </c>
      <c r="B502" t="s">
        <v>73</v>
      </c>
      <c r="C502" t="s">
        <v>9</v>
      </c>
      <c r="D502">
        <v>16</v>
      </c>
      <c r="E502">
        <v>8516</v>
      </c>
      <c r="F502">
        <v>19433</v>
      </c>
      <c r="G502" t="s">
        <v>10</v>
      </c>
      <c r="H502" t="str">
        <f>TEXT(CleanData[[#This Row],[Date]],"mmm")</f>
        <v>Apr</v>
      </c>
      <c r="I502">
        <f>WEEKNUM(CleanData[[#This Row],[Date]])</f>
        <v>15</v>
      </c>
      <c r="J502">
        <f>IF(CleanData[[#This Row],[Revenue]]&gt;=CleanData[[#This Row],[Target]],1,0)</f>
        <v>0</v>
      </c>
      <c r="K502">
        <f>IF(CleanData[[#This Row],[Attendance_Status]]="Present",1,0)</f>
        <v>1</v>
      </c>
    </row>
    <row r="503" spans="1:11" x14ac:dyDescent="0.3">
      <c r="A503" t="s">
        <v>121</v>
      </c>
      <c r="B503" t="s">
        <v>27</v>
      </c>
      <c r="C503" t="s">
        <v>9</v>
      </c>
      <c r="D503">
        <v>19</v>
      </c>
      <c r="E503">
        <v>8983</v>
      </c>
      <c r="F503">
        <v>24798</v>
      </c>
      <c r="G503" t="s">
        <v>10</v>
      </c>
      <c r="H503" t="str">
        <f>TEXT(CleanData[[#This Row],[Date]],"mmm")</f>
        <v>Apr</v>
      </c>
      <c r="I503">
        <f>WEEKNUM(CleanData[[#This Row],[Date]])</f>
        <v>16</v>
      </c>
      <c r="J503">
        <f>IF(CleanData[[#This Row],[Revenue]]&gt;=CleanData[[#This Row],[Target]],1,0)</f>
        <v>0</v>
      </c>
      <c r="K503">
        <f>IF(CleanData[[#This Row],[Attendance_Status]]="Present",1,0)</f>
        <v>1</v>
      </c>
    </row>
    <row r="504" spans="1:11" x14ac:dyDescent="0.3">
      <c r="A504" t="s">
        <v>102</v>
      </c>
      <c r="B504" t="s">
        <v>8</v>
      </c>
      <c r="C504" t="s">
        <v>13</v>
      </c>
      <c r="D504">
        <v>24</v>
      </c>
      <c r="E504">
        <v>21162</v>
      </c>
      <c r="F504">
        <v>19553</v>
      </c>
      <c r="G504" t="s">
        <v>10</v>
      </c>
      <c r="H504" t="str">
        <f>TEXT(CleanData[[#This Row],[Date]],"mmm")</f>
        <v>May</v>
      </c>
      <c r="I504">
        <f>WEEKNUM(CleanData[[#This Row],[Date]])</f>
        <v>22</v>
      </c>
      <c r="J504">
        <f>IF(CleanData[[#This Row],[Revenue]]&gt;=CleanData[[#This Row],[Target]],1,0)</f>
        <v>1</v>
      </c>
      <c r="K504">
        <f>IF(CleanData[[#This Row],[Attendance_Status]]="Present",1,0)</f>
        <v>1</v>
      </c>
    </row>
    <row r="505" spans="1:11" x14ac:dyDescent="0.3">
      <c r="A505" t="s">
        <v>135</v>
      </c>
      <c r="B505" t="s">
        <v>17</v>
      </c>
      <c r="C505" t="s">
        <v>9</v>
      </c>
      <c r="D505">
        <v>16</v>
      </c>
      <c r="E505">
        <v>6077</v>
      </c>
      <c r="F505">
        <v>19102</v>
      </c>
      <c r="G505" t="s">
        <v>10</v>
      </c>
      <c r="H505" t="str">
        <f>TEXT(CleanData[[#This Row],[Date]],"mmm")</f>
        <v>Feb</v>
      </c>
      <c r="I505">
        <f>WEEKNUM(CleanData[[#This Row],[Date]])</f>
        <v>6</v>
      </c>
      <c r="J505">
        <f>IF(CleanData[[#This Row],[Revenue]]&gt;=CleanData[[#This Row],[Target]],1,0)</f>
        <v>0</v>
      </c>
      <c r="K505">
        <f>IF(CleanData[[#This Row],[Attendance_Status]]="Present",1,0)</f>
        <v>1</v>
      </c>
    </row>
    <row r="506" spans="1:11" x14ac:dyDescent="0.3">
      <c r="A506" t="s">
        <v>57</v>
      </c>
      <c r="B506" t="s">
        <v>73</v>
      </c>
      <c r="C506" t="s">
        <v>22</v>
      </c>
      <c r="D506">
        <v>21</v>
      </c>
      <c r="E506">
        <v>11212</v>
      </c>
      <c r="F506">
        <v>24054</v>
      </c>
      <c r="G506" t="s">
        <v>10</v>
      </c>
      <c r="H506" t="str">
        <f>TEXT(CleanData[[#This Row],[Date]],"mmm")</f>
        <v>Jun</v>
      </c>
      <c r="I506">
        <f>WEEKNUM(CleanData[[#This Row],[Date]])</f>
        <v>25</v>
      </c>
      <c r="J506">
        <f>IF(CleanData[[#This Row],[Revenue]]&gt;=CleanData[[#This Row],[Target]],1,0)</f>
        <v>0</v>
      </c>
      <c r="K506">
        <f>IF(CleanData[[#This Row],[Attendance_Status]]="Present",1,0)</f>
        <v>1</v>
      </c>
    </row>
    <row r="507" spans="1:11" x14ac:dyDescent="0.3">
      <c r="A507" t="s">
        <v>210</v>
      </c>
      <c r="B507" t="s">
        <v>15</v>
      </c>
      <c r="C507" t="s">
        <v>9</v>
      </c>
      <c r="D507">
        <v>17</v>
      </c>
      <c r="E507">
        <v>16927</v>
      </c>
      <c r="F507">
        <v>18711</v>
      </c>
      <c r="G507" t="s">
        <v>10</v>
      </c>
      <c r="H507" t="str">
        <f>TEXT(CleanData[[#This Row],[Date]],"mmm")</f>
        <v>Apr</v>
      </c>
      <c r="I507">
        <f>WEEKNUM(CleanData[[#This Row],[Date]])</f>
        <v>17</v>
      </c>
      <c r="J507">
        <f>IF(CleanData[[#This Row],[Revenue]]&gt;=CleanData[[#This Row],[Target]],1,0)</f>
        <v>0</v>
      </c>
      <c r="K507">
        <f>IF(CleanData[[#This Row],[Attendance_Status]]="Present",1,0)</f>
        <v>1</v>
      </c>
    </row>
    <row r="508" spans="1:11" x14ac:dyDescent="0.3">
      <c r="A508" t="s">
        <v>150</v>
      </c>
      <c r="B508" t="s">
        <v>73</v>
      </c>
      <c r="C508" t="s">
        <v>22</v>
      </c>
      <c r="D508">
        <v>17</v>
      </c>
      <c r="E508">
        <v>24016</v>
      </c>
      <c r="F508">
        <v>22187</v>
      </c>
      <c r="G508" t="s">
        <v>26</v>
      </c>
      <c r="H508" t="str">
        <f>TEXT(CleanData[[#This Row],[Date]],"mmm")</f>
        <v>Feb</v>
      </c>
      <c r="I508">
        <f>WEEKNUM(CleanData[[#This Row],[Date]])</f>
        <v>6</v>
      </c>
      <c r="J508">
        <f>IF(CleanData[[#This Row],[Revenue]]&gt;=CleanData[[#This Row],[Target]],1,0)</f>
        <v>1</v>
      </c>
      <c r="K508">
        <f>IF(CleanData[[#This Row],[Attendance_Status]]="Present",1,0)</f>
        <v>0</v>
      </c>
    </row>
    <row r="509" spans="1:11" x14ac:dyDescent="0.3">
      <c r="A509" t="s">
        <v>71</v>
      </c>
      <c r="B509" t="s">
        <v>120</v>
      </c>
      <c r="C509" t="s">
        <v>9</v>
      </c>
      <c r="D509">
        <v>17</v>
      </c>
      <c r="E509">
        <v>7923</v>
      </c>
      <c r="F509">
        <v>12267</v>
      </c>
      <c r="G509" t="s">
        <v>10</v>
      </c>
      <c r="H509" t="str">
        <f>TEXT(CleanData[[#This Row],[Date]],"mmm")</f>
        <v>Apr</v>
      </c>
      <c r="I509">
        <f>WEEKNUM(CleanData[[#This Row],[Date]])</f>
        <v>14</v>
      </c>
      <c r="J509">
        <f>IF(CleanData[[#This Row],[Revenue]]&gt;=CleanData[[#This Row],[Target]],1,0)</f>
        <v>0</v>
      </c>
      <c r="K509">
        <f>IF(CleanData[[#This Row],[Attendance_Status]]="Present",1,0)</f>
        <v>1</v>
      </c>
    </row>
    <row r="510" spans="1:11" x14ac:dyDescent="0.3">
      <c r="A510" t="s">
        <v>74</v>
      </c>
      <c r="B510" t="s">
        <v>69</v>
      </c>
      <c r="C510" t="s">
        <v>22</v>
      </c>
      <c r="D510">
        <v>15</v>
      </c>
      <c r="E510">
        <v>29854</v>
      </c>
      <c r="F510">
        <v>22540</v>
      </c>
      <c r="G510" t="s">
        <v>10</v>
      </c>
      <c r="H510" t="str">
        <f>TEXT(CleanData[[#This Row],[Date]],"mmm")</f>
        <v>Jun</v>
      </c>
      <c r="I510">
        <f>WEEKNUM(CleanData[[#This Row],[Date]])</f>
        <v>26</v>
      </c>
      <c r="J510">
        <f>IF(CleanData[[#This Row],[Revenue]]&gt;=CleanData[[#This Row],[Target]],1,0)</f>
        <v>1</v>
      </c>
      <c r="K510">
        <f>IF(CleanData[[#This Row],[Attendance_Status]]="Present",1,0)</f>
        <v>1</v>
      </c>
    </row>
    <row r="511" spans="1:11" x14ac:dyDescent="0.3">
      <c r="A511" t="s">
        <v>77</v>
      </c>
      <c r="B511" t="s">
        <v>67</v>
      </c>
      <c r="C511" t="s">
        <v>9</v>
      </c>
      <c r="D511">
        <v>15</v>
      </c>
      <c r="E511">
        <v>21458</v>
      </c>
      <c r="F511">
        <v>13997</v>
      </c>
      <c r="G511" t="s">
        <v>10</v>
      </c>
      <c r="H511" t="str">
        <f>TEXT(CleanData[[#This Row],[Date]],"mmm")</f>
        <v>Jun</v>
      </c>
      <c r="I511">
        <f>WEEKNUM(CleanData[[#This Row],[Date]])</f>
        <v>24</v>
      </c>
      <c r="J511">
        <f>IF(CleanData[[#This Row],[Revenue]]&gt;=CleanData[[#This Row],[Target]],1,0)</f>
        <v>1</v>
      </c>
      <c r="K511">
        <f>IF(CleanData[[#This Row],[Attendance_Status]]="Present",1,0)</f>
        <v>1</v>
      </c>
    </row>
    <row r="512" spans="1:11" x14ac:dyDescent="0.3">
      <c r="A512" t="s">
        <v>36</v>
      </c>
      <c r="B512" t="s">
        <v>25</v>
      </c>
      <c r="C512" t="s">
        <v>22</v>
      </c>
      <c r="D512">
        <v>11</v>
      </c>
      <c r="E512">
        <v>29786</v>
      </c>
      <c r="F512">
        <v>24429</v>
      </c>
      <c r="G512" t="s">
        <v>10</v>
      </c>
      <c r="H512" t="str">
        <f>TEXT(CleanData[[#This Row],[Date]],"mmm")</f>
        <v>May</v>
      </c>
      <c r="I512">
        <f>WEEKNUM(CleanData[[#This Row],[Date]])</f>
        <v>22</v>
      </c>
      <c r="J512">
        <f>IF(CleanData[[#This Row],[Revenue]]&gt;=CleanData[[#This Row],[Target]],1,0)</f>
        <v>1</v>
      </c>
      <c r="K512">
        <f>IF(CleanData[[#This Row],[Attendance_Status]]="Present",1,0)</f>
        <v>1</v>
      </c>
    </row>
    <row r="513" spans="1:11" x14ac:dyDescent="0.3">
      <c r="A513" t="s">
        <v>45</v>
      </c>
      <c r="B513" t="s">
        <v>120</v>
      </c>
      <c r="C513" t="s">
        <v>22</v>
      </c>
      <c r="D513">
        <v>19</v>
      </c>
      <c r="E513">
        <v>9512</v>
      </c>
      <c r="F513">
        <v>13608</v>
      </c>
      <c r="G513" t="s">
        <v>10</v>
      </c>
      <c r="H513" t="str">
        <f>TEXT(CleanData[[#This Row],[Date]],"mmm")</f>
        <v>Jun</v>
      </c>
      <c r="I513">
        <f>WEEKNUM(CleanData[[#This Row],[Date]])</f>
        <v>25</v>
      </c>
      <c r="J513">
        <f>IF(CleanData[[#This Row],[Revenue]]&gt;=CleanData[[#This Row],[Target]],1,0)</f>
        <v>0</v>
      </c>
      <c r="K513">
        <f>IF(CleanData[[#This Row],[Attendance_Status]]="Present",1,0)</f>
        <v>1</v>
      </c>
    </row>
    <row r="514" spans="1:11" x14ac:dyDescent="0.3">
      <c r="A514" t="s">
        <v>142</v>
      </c>
      <c r="B514" t="s">
        <v>67</v>
      </c>
      <c r="C514" t="s">
        <v>9</v>
      </c>
      <c r="D514">
        <v>24</v>
      </c>
      <c r="E514">
        <v>28214</v>
      </c>
      <c r="F514">
        <v>10515</v>
      </c>
      <c r="G514" t="s">
        <v>10</v>
      </c>
      <c r="H514" t="str">
        <f>TEXT(CleanData[[#This Row],[Date]],"mmm")</f>
        <v>Jan</v>
      </c>
      <c r="I514">
        <f>WEEKNUM(CleanData[[#This Row],[Date]])</f>
        <v>3</v>
      </c>
      <c r="J514">
        <f>IF(CleanData[[#This Row],[Revenue]]&gt;=CleanData[[#This Row],[Target]],1,0)</f>
        <v>1</v>
      </c>
      <c r="K514">
        <f>IF(CleanData[[#This Row],[Attendance_Status]]="Present",1,0)</f>
        <v>1</v>
      </c>
    </row>
    <row r="515" spans="1:11" x14ac:dyDescent="0.3">
      <c r="A515" t="s">
        <v>161</v>
      </c>
      <c r="B515" t="s">
        <v>75</v>
      </c>
      <c r="C515" t="s">
        <v>13</v>
      </c>
      <c r="D515">
        <v>12</v>
      </c>
      <c r="E515">
        <v>29536</v>
      </c>
      <c r="F515">
        <v>24831</v>
      </c>
      <c r="G515" t="s">
        <v>10</v>
      </c>
      <c r="H515" t="str">
        <f>TEXT(CleanData[[#This Row],[Date]],"mmm")</f>
        <v>Mar</v>
      </c>
      <c r="I515">
        <f>WEEKNUM(CleanData[[#This Row],[Date]])</f>
        <v>13</v>
      </c>
      <c r="J515">
        <f>IF(CleanData[[#This Row],[Revenue]]&gt;=CleanData[[#This Row],[Target]],1,0)</f>
        <v>1</v>
      </c>
      <c r="K515">
        <f>IF(CleanData[[#This Row],[Attendance_Status]]="Present",1,0)</f>
        <v>1</v>
      </c>
    </row>
    <row r="516" spans="1:11" x14ac:dyDescent="0.3">
      <c r="A516" t="s">
        <v>181</v>
      </c>
      <c r="B516" t="s">
        <v>101</v>
      </c>
      <c r="C516" t="s">
        <v>13</v>
      </c>
      <c r="D516">
        <v>16</v>
      </c>
      <c r="E516">
        <v>28081</v>
      </c>
      <c r="F516">
        <v>16969</v>
      </c>
      <c r="G516" t="s">
        <v>10</v>
      </c>
      <c r="H516" t="str">
        <f>TEXT(CleanData[[#This Row],[Date]],"mmm")</f>
        <v>May</v>
      </c>
      <c r="I516">
        <f>WEEKNUM(CleanData[[#This Row],[Date]])</f>
        <v>19</v>
      </c>
      <c r="J516">
        <f>IF(CleanData[[#This Row],[Revenue]]&gt;=CleanData[[#This Row],[Target]],1,0)</f>
        <v>1</v>
      </c>
      <c r="K516">
        <f>IF(CleanData[[#This Row],[Attendance_Status]]="Present",1,0)</f>
        <v>1</v>
      </c>
    </row>
    <row r="517" spans="1:11" x14ac:dyDescent="0.3">
      <c r="A517" t="s">
        <v>93</v>
      </c>
      <c r="B517" t="s">
        <v>42</v>
      </c>
      <c r="C517" t="s">
        <v>13</v>
      </c>
      <c r="D517">
        <v>15</v>
      </c>
      <c r="E517">
        <v>26875</v>
      </c>
      <c r="F517">
        <v>14123</v>
      </c>
      <c r="G517" t="s">
        <v>10</v>
      </c>
      <c r="H517" t="str">
        <f>TEXT(CleanData[[#This Row],[Date]],"mmm")</f>
        <v>Mar</v>
      </c>
      <c r="I517">
        <f>WEEKNUM(CleanData[[#This Row],[Date]])</f>
        <v>12</v>
      </c>
      <c r="J517">
        <f>IF(CleanData[[#This Row],[Revenue]]&gt;=CleanData[[#This Row],[Target]],1,0)</f>
        <v>1</v>
      </c>
      <c r="K517">
        <f>IF(CleanData[[#This Row],[Attendance_Status]]="Present",1,0)</f>
        <v>1</v>
      </c>
    </row>
    <row r="518" spans="1:11" x14ac:dyDescent="0.3">
      <c r="A518" t="s">
        <v>175</v>
      </c>
      <c r="B518" t="s">
        <v>19</v>
      </c>
      <c r="C518" t="s">
        <v>22</v>
      </c>
      <c r="D518">
        <v>18</v>
      </c>
      <c r="E518">
        <v>7096</v>
      </c>
      <c r="F518">
        <v>18700</v>
      </c>
      <c r="G518" t="s">
        <v>10</v>
      </c>
      <c r="H518" t="str">
        <f>TEXT(CleanData[[#This Row],[Date]],"mmm")</f>
        <v>May</v>
      </c>
      <c r="I518">
        <f>WEEKNUM(CleanData[[#This Row],[Date]])</f>
        <v>22</v>
      </c>
      <c r="J518">
        <f>IF(CleanData[[#This Row],[Revenue]]&gt;=CleanData[[#This Row],[Target]],1,0)</f>
        <v>0</v>
      </c>
      <c r="K518">
        <f>IF(CleanData[[#This Row],[Attendance_Status]]="Present",1,0)</f>
        <v>1</v>
      </c>
    </row>
    <row r="519" spans="1:11" x14ac:dyDescent="0.3">
      <c r="A519" t="s">
        <v>177</v>
      </c>
      <c r="B519" t="s">
        <v>67</v>
      </c>
      <c r="C519" t="s">
        <v>13</v>
      </c>
      <c r="D519">
        <v>25</v>
      </c>
      <c r="E519">
        <v>12634</v>
      </c>
      <c r="F519">
        <v>20092</v>
      </c>
      <c r="G519" t="s">
        <v>10</v>
      </c>
      <c r="H519" t="str">
        <f>TEXT(CleanData[[#This Row],[Date]],"mmm")</f>
        <v>Mar</v>
      </c>
      <c r="I519">
        <f>WEEKNUM(CleanData[[#This Row],[Date]])</f>
        <v>13</v>
      </c>
      <c r="J519">
        <f>IF(CleanData[[#This Row],[Revenue]]&gt;=CleanData[[#This Row],[Target]],1,0)</f>
        <v>0</v>
      </c>
      <c r="K519">
        <f>IF(CleanData[[#This Row],[Attendance_Status]]="Present",1,0)</f>
        <v>1</v>
      </c>
    </row>
    <row r="520" spans="1:11" x14ac:dyDescent="0.3">
      <c r="A520" t="s">
        <v>209</v>
      </c>
      <c r="B520" t="s">
        <v>29</v>
      </c>
      <c r="C520" t="s">
        <v>13</v>
      </c>
      <c r="D520">
        <v>13</v>
      </c>
      <c r="E520">
        <v>6134</v>
      </c>
      <c r="F520">
        <v>20646</v>
      </c>
      <c r="G520" t="s">
        <v>10</v>
      </c>
      <c r="H520" t="str">
        <f>TEXT(CleanData[[#This Row],[Date]],"mmm")</f>
        <v>Feb</v>
      </c>
      <c r="I520">
        <f>WEEKNUM(CleanData[[#This Row],[Date]])</f>
        <v>5</v>
      </c>
      <c r="J520">
        <f>IF(CleanData[[#This Row],[Revenue]]&gt;=CleanData[[#This Row],[Target]],1,0)</f>
        <v>0</v>
      </c>
      <c r="K520">
        <f>IF(CleanData[[#This Row],[Attendance_Status]]="Present",1,0)</f>
        <v>1</v>
      </c>
    </row>
    <row r="521" spans="1:11" x14ac:dyDescent="0.3">
      <c r="A521" t="s">
        <v>211</v>
      </c>
      <c r="B521" t="s">
        <v>25</v>
      </c>
      <c r="C521" t="s">
        <v>13</v>
      </c>
      <c r="D521">
        <v>24</v>
      </c>
      <c r="E521">
        <v>21240</v>
      </c>
      <c r="F521">
        <v>14322</v>
      </c>
      <c r="G521" t="s">
        <v>10</v>
      </c>
      <c r="H521" t="str">
        <f>TEXT(CleanData[[#This Row],[Date]],"mmm")</f>
        <v>Apr</v>
      </c>
      <c r="I521">
        <f>WEEKNUM(CleanData[[#This Row],[Date]])</f>
        <v>14</v>
      </c>
      <c r="J521">
        <f>IF(CleanData[[#This Row],[Revenue]]&gt;=CleanData[[#This Row],[Target]],1,0)</f>
        <v>1</v>
      </c>
      <c r="K521">
        <f>IF(CleanData[[#This Row],[Attendance_Status]]="Present",1,0)</f>
        <v>1</v>
      </c>
    </row>
    <row r="522" spans="1:11" x14ac:dyDescent="0.3">
      <c r="A522" t="s">
        <v>11</v>
      </c>
      <c r="B522" t="s">
        <v>75</v>
      </c>
      <c r="C522" t="s">
        <v>9</v>
      </c>
      <c r="D522">
        <v>20</v>
      </c>
      <c r="E522">
        <v>9529</v>
      </c>
      <c r="F522">
        <v>22262</v>
      </c>
      <c r="G522" t="s">
        <v>10</v>
      </c>
      <c r="H522" t="str">
        <f>TEXT(CleanData[[#This Row],[Date]],"mmm")</f>
        <v>Jun</v>
      </c>
      <c r="I522">
        <f>WEEKNUM(CleanData[[#This Row],[Date]])</f>
        <v>23</v>
      </c>
      <c r="J522">
        <f>IF(CleanData[[#This Row],[Revenue]]&gt;=CleanData[[#This Row],[Target]],1,0)</f>
        <v>0</v>
      </c>
      <c r="K522">
        <f>IF(CleanData[[#This Row],[Attendance_Status]]="Present",1,0)</f>
        <v>1</v>
      </c>
    </row>
    <row r="523" spans="1:11" x14ac:dyDescent="0.3">
      <c r="A523" t="s">
        <v>111</v>
      </c>
      <c r="B523" t="s">
        <v>19</v>
      </c>
      <c r="C523" t="s">
        <v>13</v>
      </c>
      <c r="D523">
        <v>11</v>
      </c>
      <c r="E523">
        <v>16552</v>
      </c>
      <c r="F523">
        <v>20884</v>
      </c>
      <c r="G523" t="s">
        <v>10</v>
      </c>
      <c r="H523" t="str">
        <f>TEXT(CleanData[[#This Row],[Date]],"mmm")</f>
        <v>Mar</v>
      </c>
      <c r="I523">
        <f>WEEKNUM(CleanData[[#This Row],[Date]])</f>
        <v>11</v>
      </c>
      <c r="J523">
        <f>IF(CleanData[[#This Row],[Revenue]]&gt;=CleanData[[#This Row],[Target]],1,0)</f>
        <v>0</v>
      </c>
      <c r="K523">
        <f>IF(CleanData[[#This Row],[Attendance_Status]]="Present",1,0)</f>
        <v>1</v>
      </c>
    </row>
    <row r="524" spans="1:11" x14ac:dyDescent="0.3">
      <c r="A524" t="s">
        <v>93</v>
      </c>
      <c r="B524" t="s">
        <v>67</v>
      </c>
      <c r="C524" t="s">
        <v>13</v>
      </c>
      <c r="D524">
        <v>25</v>
      </c>
      <c r="E524">
        <v>8241</v>
      </c>
      <c r="F524">
        <v>18080</v>
      </c>
      <c r="G524" t="s">
        <v>10</v>
      </c>
      <c r="H524" t="str">
        <f>TEXT(CleanData[[#This Row],[Date]],"mmm")</f>
        <v>Mar</v>
      </c>
      <c r="I524">
        <f>WEEKNUM(CleanData[[#This Row],[Date]])</f>
        <v>12</v>
      </c>
      <c r="J524">
        <f>IF(CleanData[[#This Row],[Revenue]]&gt;=CleanData[[#This Row],[Target]],1,0)</f>
        <v>0</v>
      </c>
      <c r="K524">
        <f>IF(CleanData[[#This Row],[Attendance_Status]]="Present",1,0)</f>
        <v>1</v>
      </c>
    </row>
    <row r="525" spans="1:11" x14ac:dyDescent="0.3">
      <c r="A525" t="s">
        <v>208</v>
      </c>
      <c r="B525" t="s">
        <v>73</v>
      </c>
      <c r="C525" t="s">
        <v>13</v>
      </c>
      <c r="D525">
        <v>24</v>
      </c>
      <c r="E525">
        <v>6936</v>
      </c>
      <c r="F525">
        <v>12787</v>
      </c>
      <c r="G525" t="s">
        <v>10</v>
      </c>
      <c r="H525" t="str">
        <f>TEXT(CleanData[[#This Row],[Date]],"mmm")</f>
        <v>Apr</v>
      </c>
      <c r="I525">
        <f>WEEKNUM(CleanData[[#This Row],[Date]])</f>
        <v>18</v>
      </c>
      <c r="J525">
        <f>IF(CleanData[[#This Row],[Revenue]]&gt;=CleanData[[#This Row],[Target]],1,0)</f>
        <v>0</v>
      </c>
      <c r="K525">
        <f>IF(CleanData[[#This Row],[Attendance_Status]]="Present",1,0)</f>
        <v>1</v>
      </c>
    </row>
    <row r="526" spans="1:11" x14ac:dyDescent="0.3">
      <c r="A526" t="s">
        <v>146</v>
      </c>
      <c r="B526" t="s">
        <v>54</v>
      </c>
      <c r="C526" t="s">
        <v>22</v>
      </c>
      <c r="D526">
        <v>7</v>
      </c>
      <c r="E526">
        <v>12405</v>
      </c>
      <c r="F526">
        <v>22641</v>
      </c>
      <c r="G526" t="s">
        <v>10</v>
      </c>
      <c r="H526" t="str">
        <f>TEXT(CleanData[[#This Row],[Date]],"mmm")</f>
        <v>Feb</v>
      </c>
      <c r="I526">
        <f>WEEKNUM(CleanData[[#This Row],[Date]])</f>
        <v>8</v>
      </c>
      <c r="J526">
        <f>IF(CleanData[[#This Row],[Revenue]]&gt;=CleanData[[#This Row],[Target]],1,0)</f>
        <v>0</v>
      </c>
      <c r="K526">
        <f>IF(CleanData[[#This Row],[Attendance_Status]]="Present",1,0)</f>
        <v>1</v>
      </c>
    </row>
    <row r="527" spans="1:11" x14ac:dyDescent="0.3">
      <c r="A527" t="s">
        <v>74</v>
      </c>
      <c r="B527" t="s">
        <v>31</v>
      </c>
      <c r="C527" t="s">
        <v>9</v>
      </c>
      <c r="D527">
        <v>6</v>
      </c>
      <c r="E527">
        <v>29179</v>
      </c>
      <c r="F527">
        <v>22461</v>
      </c>
      <c r="G527" t="s">
        <v>10</v>
      </c>
      <c r="H527" t="str">
        <f>TEXT(CleanData[[#This Row],[Date]],"mmm")</f>
        <v>Jun</v>
      </c>
      <c r="I527">
        <f>WEEKNUM(CleanData[[#This Row],[Date]])</f>
        <v>26</v>
      </c>
      <c r="J527">
        <f>IF(CleanData[[#This Row],[Revenue]]&gt;=CleanData[[#This Row],[Target]],1,0)</f>
        <v>1</v>
      </c>
      <c r="K527">
        <f>IF(CleanData[[#This Row],[Attendance_Status]]="Present",1,0)</f>
        <v>1</v>
      </c>
    </row>
    <row r="528" spans="1:11" x14ac:dyDescent="0.3">
      <c r="A528" t="s">
        <v>82</v>
      </c>
      <c r="B528" t="s">
        <v>42</v>
      </c>
      <c r="C528" t="s">
        <v>22</v>
      </c>
      <c r="D528">
        <v>12</v>
      </c>
      <c r="E528">
        <v>27954</v>
      </c>
      <c r="F528">
        <v>11261</v>
      </c>
      <c r="G528" t="s">
        <v>10</v>
      </c>
      <c r="H528" t="str">
        <f>TEXT(CleanData[[#This Row],[Date]],"mmm")</f>
        <v>Jan</v>
      </c>
      <c r="I528">
        <f>WEEKNUM(CleanData[[#This Row],[Date]])</f>
        <v>2</v>
      </c>
      <c r="J528">
        <f>IF(CleanData[[#This Row],[Revenue]]&gt;=CleanData[[#This Row],[Target]],1,0)</f>
        <v>1</v>
      </c>
      <c r="K528">
        <f>IF(CleanData[[#This Row],[Attendance_Status]]="Present",1,0)</f>
        <v>1</v>
      </c>
    </row>
    <row r="529" spans="1:11" x14ac:dyDescent="0.3">
      <c r="A529" t="s">
        <v>176</v>
      </c>
      <c r="B529" t="s">
        <v>15</v>
      </c>
      <c r="C529" t="s">
        <v>13</v>
      </c>
      <c r="D529">
        <v>17</v>
      </c>
      <c r="E529">
        <v>29928</v>
      </c>
      <c r="F529">
        <v>20557</v>
      </c>
      <c r="G529" t="s">
        <v>10</v>
      </c>
      <c r="H529" t="str">
        <f>TEXT(CleanData[[#This Row],[Date]],"mmm")</f>
        <v>Mar</v>
      </c>
      <c r="I529">
        <f>WEEKNUM(CleanData[[#This Row],[Date]])</f>
        <v>13</v>
      </c>
      <c r="J529">
        <f>IF(CleanData[[#This Row],[Revenue]]&gt;=CleanData[[#This Row],[Target]],1,0)</f>
        <v>1</v>
      </c>
      <c r="K529">
        <f>IF(CleanData[[#This Row],[Attendance_Status]]="Present",1,0)</f>
        <v>1</v>
      </c>
    </row>
    <row r="530" spans="1:11" x14ac:dyDescent="0.3">
      <c r="A530" t="s">
        <v>57</v>
      </c>
      <c r="B530" t="s">
        <v>101</v>
      </c>
      <c r="C530" t="s">
        <v>22</v>
      </c>
      <c r="D530">
        <v>11</v>
      </c>
      <c r="E530">
        <v>20697</v>
      </c>
      <c r="F530">
        <v>23987</v>
      </c>
      <c r="G530" t="s">
        <v>10</v>
      </c>
      <c r="H530" t="str">
        <f>TEXT(CleanData[[#This Row],[Date]],"mmm")</f>
        <v>Jun</v>
      </c>
      <c r="I530">
        <f>WEEKNUM(CleanData[[#This Row],[Date]])</f>
        <v>25</v>
      </c>
      <c r="J530">
        <f>IF(CleanData[[#This Row],[Revenue]]&gt;=CleanData[[#This Row],[Target]],1,0)</f>
        <v>0</v>
      </c>
      <c r="K530">
        <f>IF(CleanData[[#This Row],[Attendance_Status]]="Present",1,0)</f>
        <v>1</v>
      </c>
    </row>
    <row r="531" spans="1:11" x14ac:dyDescent="0.3">
      <c r="A531" t="s">
        <v>84</v>
      </c>
      <c r="B531" t="s">
        <v>75</v>
      </c>
      <c r="C531" t="s">
        <v>9</v>
      </c>
      <c r="D531">
        <v>16</v>
      </c>
      <c r="E531">
        <v>8110</v>
      </c>
      <c r="F531">
        <v>11486</v>
      </c>
      <c r="G531" t="s">
        <v>26</v>
      </c>
      <c r="H531" t="str">
        <f>TEXT(CleanData[[#This Row],[Date]],"mmm")</f>
        <v>May</v>
      </c>
      <c r="I531">
        <f>WEEKNUM(CleanData[[#This Row],[Date]])</f>
        <v>19</v>
      </c>
      <c r="J531">
        <f>IF(CleanData[[#This Row],[Revenue]]&gt;=CleanData[[#This Row],[Target]],1,0)</f>
        <v>0</v>
      </c>
      <c r="K531">
        <f>IF(CleanData[[#This Row],[Attendance_Status]]="Present",1,0)</f>
        <v>0</v>
      </c>
    </row>
    <row r="532" spans="1:11" x14ac:dyDescent="0.3">
      <c r="A532" t="s">
        <v>128</v>
      </c>
      <c r="B532" t="s">
        <v>92</v>
      </c>
      <c r="C532" t="s">
        <v>9</v>
      </c>
      <c r="D532">
        <v>24</v>
      </c>
      <c r="E532">
        <v>20716</v>
      </c>
      <c r="F532">
        <v>19439</v>
      </c>
      <c r="G532" t="s">
        <v>10</v>
      </c>
      <c r="H532" t="str">
        <f>TEXT(CleanData[[#This Row],[Date]],"mmm")</f>
        <v>Jan</v>
      </c>
      <c r="I532">
        <f>WEEKNUM(CleanData[[#This Row],[Date]])</f>
        <v>4</v>
      </c>
      <c r="J532">
        <f>IF(CleanData[[#This Row],[Revenue]]&gt;=CleanData[[#This Row],[Target]],1,0)</f>
        <v>1</v>
      </c>
      <c r="K532">
        <f>IF(CleanData[[#This Row],[Attendance_Status]]="Present",1,0)</f>
        <v>1</v>
      </c>
    </row>
    <row r="533" spans="1:11" x14ac:dyDescent="0.3">
      <c r="A533" t="s">
        <v>134</v>
      </c>
      <c r="B533" t="s">
        <v>33</v>
      </c>
      <c r="C533" t="s">
        <v>22</v>
      </c>
      <c r="D533">
        <v>19</v>
      </c>
      <c r="E533">
        <v>15746</v>
      </c>
      <c r="F533">
        <v>17458</v>
      </c>
      <c r="G533" t="s">
        <v>10</v>
      </c>
      <c r="H533" t="str">
        <f>TEXT(CleanData[[#This Row],[Date]],"mmm")</f>
        <v>Feb</v>
      </c>
      <c r="I533">
        <f>WEEKNUM(CleanData[[#This Row],[Date]])</f>
        <v>6</v>
      </c>
      <c r="J533">
        <f>IF(CleanData[[#This Row],[Revenue]]&gt;=CleanData[[#This Row],[Target]],1,0)</f>
        <v>0</v>
      </c>
      <c r="K533">
        <f>IF(CleanData[[#This Row],[Attendance_Status]]="Present",1,0)</f>
        <v>1</v>
      </c>
    </row>
    <row r="534" spans="1:11" x14ac:dyDescent="0.3">
      <c r="A534" t="s">
        <v>139</v>
      </c>
      <c r="B534" t="s">
        <v>79</v>
      </c>
      <c r="C534" t="s">
        <v>22</v>
      </c>
      <c r="D534">
        <v>15</v>
      </c>
      <c r="E534">
        <v>19955</v>
      </c>
      <c r="F534">
        <v>17430</v>
      </c>
      <c r="G534" t="s">
        <v>10</v>
      </c>
      <c r="H534" t="str">
        <f>TEXT(CleanData[[#This Row],[Date]],"mmm")</f>
        <v>Apr</v>
      </c>
      <c r="I534">
        <f>WEEKNUM(CleanData[[#This Row],[Date]])</f>
        <v>17</v>
      </c>
      <c r="J534">
        <f>IF(CleanData[[#This Row],[Revenue]]&gt;=CleanData[[#This Row],[Target]],1,0)</f>
        <v>1</v>
      </c>
      <c r="K534">
        <f>IF(CleanData[[#This Row],[Attendance_Status]]="Present",1,0)</f>
        <v>1</v>
      </c>
    </row>
    <row r="535" spans="1:11" x14ac:dyDescent="0.3">
      <c r="A535" t="s">
        <v>93</v>
      </c>
      <c r="B535" t="s">
        <v>101</v>
      </c>
      <c r="C535" t="s">
        <v>9</v>
      </c>
      <c r="D535">
        <v>7</v>
      </c>
      <c r="E535">
        <v>15525</v>
      </c>
      <c r="F535">
        <v>12486</v>
      </c>
      <c r="G535" t="s">
        <v>10</v>
      </c>
      <c r="H535" t="str">
        <f>TEXT(CleanData[[#This Row],[Date]],"mmm")</f>
        <v>Mar</v>
      </c>
      <c r="I535">
        <f>WEEKNUM(CleanData[[#This Row],[Date]])</f>
        <v>12</v>
      </c>
      <c r="J535">
        <f>IF(CleanData[[#This Row],[Revenue]]&gt;=CleanData[[#This Row],[Target]],1,0)</f>
        <v>1</v>
      </c>
      <c r="K535">
        <f>IF(CleanData[[#This Row],[Attendance_Status]]="Present",1,0)</f>
        <v>1</v>
      </c>
    </row>
    <row r="536" spans="1:11" x14ac:dyDescent="0.3">
      <c r="A536" t="s">
        <v>141</v>
      </c>
      <c r="B536" t="s">
        <v>37</v>
      </c>
      <c r="C536" t="s">
        <v>13</v>
      </c>
      <c r="D536">
        <v>18</v>
      </c>
      <c r="E536">
        <v>7855</v>
      </c>
      <c r="F536">
        <v>21739</v>
      </c>
      <c r="G536" t="s">
        <v>10</v>
      </c>
      <c r="H536" t="str">
        <f>TEXT(CleanData[[#This Row],[Date]],"mmm")</f>
        <v>Feb</v>
      </c>
      <c r="I536">
        <f>WEEKNUM(CleanData[[#This Row],[Date]])</f>
        <v>8</v>
      </c>
      <c r="J536">
        <f>IF(CleanData[[#This Row],[Revenue]]&gt;=CleanData[[#This Row],[Target]],1,0)</f>
        <v>0</v>
      </c>
      <c r="K536">
        <f>IF(CleanData[[#This Row],[Attendance_Status]]="Present",1,0)</f>
        <v>1</v>
      </c>
    </row>
    <row r="537" spans="1:11" x14ac:dyDescent="0.3">
      <c r="A537" t="s">
        <v>123</v>
      </c>
      <c r="B537" t="s">
        <v>19</v>
      </c>
      <c r="C537" t="s">
        <v>13</v>
      </c>
      <c r="D537">
        <v>19</v>
      </c>
      <c r="E537">
        <v>20189</v>
      </c>
      <c r="F537">
        <v>21107</v>
      </c>
      <c r="G537" t="s">
        <v>10</v>
      </c>
      <c r="H537" t="str">
        <f>TEXT(CleanData[[#This Row],[Date]],"mmm")</f>
        <v>Jun</v>
      </c>
      <c r="I537">
        <f>WEEKNUM(CleanData[[#This Row],[Date]])</f>
        <v>23</v>
      </c>
      <c r="J537">
        <f>IF(CleanData[[#This Row],[Revenue]]&gt;=CleanData[[#This Row],[Target]],1,0)</f>
        <v>0</v>
      </c>
      <c r="K537">
        <f>IF(CleanData[[#This Row],[Attendance_Status]]="Present",1,0)</f>
        <v>1</v>
      </c>
    </row>
    <row r="538" spans="1:11" x14ac:dyDescent="0.3">
      <c r="A538" t="s">
        <v>63</v>
      </c>
      <c r="B538" t="s">
        <v>42</v>
      </c>
      <c r="C538" t="s">
        <v>22</v>
      </c>
      <c r="D538">
        <v>9</v>
      </c>
      <c r="E538">
        <v>6228</v>
      </c>
      <c r="F538">
        <v>11167</v>
      </c>
      <c r="G538" t="s">
        <v>10</v>
      </c>
      <c r="H538" t="str">
        <f>TEXT(CleanData[[#This Row],[Date]],"mmm")</f>
        <v>Jun</v>
      </c>
      <c r="I538">
        <f>WEEKNUM(CleanData[[#This Row],[Date]])</f>
        <v>24</v>
      </c>
      <c r="J538">
        <f>IF(CleanData[[#This Row],[Revenue]]&gt;=CleanData[[#This Row],[Target]],1,0)</f>
        <v>0</v>
      </c>
      <c r="K538">
        <f>IF(CleanData[[#This Row],[Attendance_Status]]="Present",1,0)</f>
        <v>1</v>
      </c>
    </row>
    <row r="539" spans="1:11" x14ac:dyDescent="0.3">
      <c r="A539" t="s">
        <v>183</v>
      </c>
      <c r="B539" t="s">
        <v>56</v>
      </c>
      <c r="C539" t="s">
        <v>9</v>
      </c>
      <c r="D539">
        <v>8</v>
      </c>
      <c r="E539">
        <v>15381</v>
      </c>
      <c r="F539">
        <v>13100</v>
      </c>
      <c r="G539" t="s">
        <v>26</v>
      </c>
      <c r="H539" t="str">
        <f>TEXT(CleanData[[#This Row],[Date]],"mmm")</f>
        <v>Mar</v>
      </c>
      <c r="I539">
        <f>WEEKNUM(CleanData[[#This Row],[Date]])</f>
        <v>10</v>
      </c>
      <c r="J539">
        <f>IF(CleanData[[#This Row],[Revenue]]&gt;=CleanData[[#This Row],[Target]],1,0)</f>
        <v>1</v>
      </c>
      <c r="K539">
        <f>IF(CleanData[[#This Row],[Attendance_Status]]="Present",1,0)</f>
        <v>0</v>
      </c>
    </row>
    <row r="540" spans="1:11" x14ac:dyDescent="0.3">
      <c r="A540" t="s">
        <v>23</v>
      </c>
      <c r="B540" t="s">
        <v>31</v>
      </c>
      <c r="C540" t="s">
        <v>13</v>
      </c>
      <c r="D540">
        <v>25</v>
      </c>
      <c r="E540">
        <v>25759</v>
      </c>
      <c r="F540">
        <v>19686</v>
      </c>
      <c r="G540" t="s">
        <v>10</v>
      </c>
      <c r="H540" t="str">
        <f>TEXT(CleanData[[#This Row],[Date]],"mmm")</f>
        <v>Mar</v>
      </c>
      <c r="I540">
        <f>WEEKNUM(CleanData[[#This Row],[Date]])</f>
        <v>10</v>
      </c>
      <c r="J540">
        <f>IF(CleanData[[#This Row],[Revenue]]&gt;=CleanData[[#This Row],[Target]],1,0)</f>
        <v>1</v>
      </c>
      <c r="K540">
        <f>IF(CleanData[[#This Row],[Attendance_Status]]="Present",1,0)</f>
        <v>1</v>
      </c>
    </row>
    <row r="541" spans="1:11" x14ac:dyDescent="0.3">
      <c r="A541" t="s">
        <v>93</v>
      </c>
      <c r="B541" t="s">
        <v>42</v>
      </c>
      <c r="C541" t="s">
        <v>9</v>
      </c>
      <c r="D541">
        <v>19</v>
      </c>
      <c r="E541">
        <v>26830</v>
      </c>
      <c r="F541">
        <v>16593</v>
      </c>
      <c r="G541" t="s">
        <v>10</v>
      </c>
      <c r="H541" t="str">
        <f>TEXT(CleanData[[#This Row],[Date]],"mmm")</f>
        <v>Mar</v>
      </c>
      <c r="I541">
        <f>WEEKNUM(CleanData[[#This Row],[Date]])</f>
        <v>12</v>
      </c>
      <c r="J541">
        <f>IF(CleanData[[#This Row],[Revenue]]&gt;=CleanData[[#This Row],[Target]],1,0)</f>
        <v>1</v>
      </c>
      <c r="K541">
        <f>IF(CleanData[[#This Row],[Attendance_Status]]="Present",1,0)</f>
        <v>1</v>
      </c>
    </row>
    <row r="542" spans="1:11" x14ac:dyDescent="0.3">
      <c r="A542" t="s">
        <v>23</v>
      </c>
      <c r="B542" t="s">
        <v>56</v>
      </c>
      <c r="C542" t="s">
        <v>9</v>
      </c>
      <c r="D542">
        <v>14</v>
      </c>
      <c r="E542">
        <v>13917</v>
      </c>
      <c r="F542">
        <v>21249</v>
      </c>
      <c r="G542" t="s">
        <v>10</v>
      </c>
      <c r="H542" t="str">
        <f>TEXT(CleanData[[#This Row],[Date]],"mmm")</f>
        <v>Mar</v>
      </c>
      <c r="I542">
        <f>WEEKNUM(CleanData[[#This Row],[Date]])</f>
        <v>10</v>
      </c>
      <c r="J542">
        <f>IF(CleanData[[#This Row],[Revenue]]&gt;=CleanData[[#This Row],[Target]],1,0)</f>
        <v>0</v>
      </c>
      <c r="K542">
        <f>IF(CleanData[[#This Row],[Attendance_Status]]="Present",1,0)</f>
        <v>1</v>
      </c>
    </row>
    <row r="543" spans="1:11" x14ac:dyDescent="0.3">
      <c r="A543" t="s">
        <v>212</v>
      </c>
      <c r="B543" t="s">
        <v>27</v>
      </c>
      <c r="C543" t="s">
        <v>13</v>
      </c>
      <c r="D543">
        <v>20</v>
      </c>
      <c r="E543">
        <v>15796</v>
      </c>
      <c r="F543">
        <v>18074</v>
      </c>
      <c r="G543" t="s">
        <v>10</v>
      </c>
      <c r="H543" t="str">
        <f>TEXT(CleanData[[#This Row],[Date]],"mmm")</f>
        <v>Feb</v>
      </c>
      <c r="I543">
        <f>WEEKNUM(CleanData[[#This Row],[Date]])</f>
        <v>6</v>
      </c>
      <c r="J543">
        <f>IF(CleanData[[#This Row],[Revenue]]&gt;=CleanData[[#This Row],[Target]],1,0)</f>
        <v>0</v>
      </c>
      <c r="K543">
        <f>IF(CleanData[[#This Row],[Attendance_Status]]="Present",1,0)</f>
        <v>1</v>
      </c>
    </row>
    <row r="544" spans="1:11" x14ac:dyDescent="0.3">
      <c r="A544" t="s">
        <v>47</v>
      </c>
      <c r="B544" t="s">
        <v>69</v>
      </c>
      <c r="C544" t="s">
        <v>13</v>
      </c>
      <c r="D544">
        <v>24</v>
      </c>
      <c r="E544">
        <v>15114</v>
      </c>
      <c r="F544">
        <v>19724</v>
      </c>
      <c r="G544" t="s">
        <v>10</v>
      </c>
      <c r="H544" t="str">
        <f>TEXT(CleanData[[#This Row],[Date]],"mmm")</f>
        <v>May</v>
      </c>
      <c r="I544">
        <f>WEEKNUM(CleanData[[#This Row],[Date]])</f>
        <v>22</v>
      </c>
      <c r="J544">
        <f>IF(CleanData[[#This Row],[Revenue]]&gt;=CleanData[[#This Row],[Target]],1,0)</f>
        <v>0</v>
      </c>
      <c r="K544">
        <f>IF(CleanData[[#This Row],[Attendance_Status]]="Present",1,0)</f>
        <v>1</v>
      </c>
    </row>
    <row r="545" spans="1:11" x14ac:dyDescent="0.3">
      <c r="A545" t="s">
        <v>178</v>
      </c>
      <c r="B545" t="s">
        <v>54</v>
      </c>
      <c r="C545" t="s">
        <v>22</v>
      </c>
      <c r="D545">
        <v>5</v>
      </c>
      <c r="E545">
        <v>16056</v>
      </c>
      <c r="F545">
        <v>15333</v>
      </c>
      <c r="G545" t="s">
        <v>10</v>
      </c>
      <c r="H545" t="str">
        <f>TEXT(CleanData[[#This Row],[Date]],"mmm")</f>
        <v>Feb</v>
      </c>
      <c r="I545">
        <f>WEEKNUM(CleanData[[#This Row],[Date]])</f>
        <v>9</v>
      </c>
      <c r="J545">
        <f>IF(CleanData[[#This Row],[Revenue]]&gt;=CleanData[[#This Row],[Target]],1,0)</f>
        <v>1</v>
      </c>
      <c r="K545">
        <f>IF(CleanData[[#This Row],[Attendance_Status]]="Present",1,0)</f>
        <v>1</v>
      </c>
    </row>
    <row r="546" spans="1:11" x14ac:dyDescent="0.3">
      <c r="A546" t="s">
        <v>161</v>
      </c>
      <c r="B546" t="s">
        <v>33</v>
      </c>
      <c r="C546" t="s">
        <v>13</v>
      </c>
      <c r="D546">
        <v>10</v>
      </c>
      <c r="E546">
        <v>29275</v>
      </c>
      <c r="F546">
        <v>13417</v>
      </c>
      <c r="G546" t="s">
        <v>10</v>
      </c>
      <c r="H546" t="str">
        <f>TEXT(CleanData[[#This Row],[Date]],"mmm")</f>
        <v>Mar</v>
      </c>
      <c r="I546">
        <f>WEEKNUM(CleanData[[#This Row],[Date]])</f>
        <v>13</v>
      </c>
      <c r="J546">
        <f>IF(CleanData[[#This Row],[Revenue]]&gt;=CleanData[[#This Row],[Target]],1,0)</f>
        <v>1</v>
      </c>
      <c r="K546">
        <f>IF(CleanData[[#This Row],[Attendance_Status]]="Present",1,0)</f>
        <v>1</v>
      </c>
    </row>
    <row r="547" spans="1:11" x14ac:dyDescent="0.3">
      <c r="A547" t="s">
        <v>197</v>
      </c>
      <c r="B547" t="s">
        <v>92</v>
      </c>
      <c r="C547" t="s">
        <v>13</v>
      </c>
      <c r="D547">
        <v>5</v>
      </c>
      <c r="E547">
        <v>15477</v>
      </c>
      <c r="F547">
        <v>18642</v>
      </c>
      <c r="G547" t="s">
        <v>10</v>
      </c>
      <c r="H547" t="str">
        <f>TEXT(CleanData[[#This Row],[Date]],"mmm")</f>
        <v>May</v>
      </c>
      <c r="I547">
        <f>WEEKNUM(CleanData[[#This Row],[Date]])</f>
        <v>21</v>
      </c>
      <c r="J547">
        <f>IF(CleanData[[#This Row],[Revenue]]&gt;=CleanData[[#This Row],[Target]],1,0)</f>
        <v>0</v>
      </c>
      <c r="K547">
        <f>IF(CleanData[[#This Row],[Attendance_Status]]="Present",1,0)</f>
        <v>1</v>
      </c>
    </row>
    <row r="548" spans="1:11" x14ac:dyDescent="0.3">
      <c r="A548" t="s">
        <v>58</v>
      </c>
      <c r="B548" t="s">
        <v>40</v>
      </c>
      <c r="C548" t="s">
        <v>22</v>
      </c>
      <c r="D548">
        <v>24</v>
      </c>
      <c r="E548">
        <v>11561</v>
      </c>
      <c r="F548">
        <v>21425</v>
      </c>
      <c r="G548" t="s">
        <v>10</v>
      </c>
      <c r="H548" t="str">
        <f>TEXT(CleanData[[#This Row],[Date]],"mmm")</f>
        <v>May</v>
      </c>
      <c r="I548">
        <f>WEEKNUM(CleanData[[#This Row],[Date]])</f>
        <v>21</v>
      </c>
      <c r="J548">
        <f>IF(CleanData[[#This Row],[Revenue]]&gt;=CleanData[[#This Row],[Target]],1,0)</f>
        <v>0</v>
      </c>
      <c r="K548">
        <f>IF(CleanData[[#This Row],[Attendance_Status]]="Present",1,0)</f>
        <v>1</v>
      </c>
    </row>
    <row r="549" spans="1:11" x14ac:dyDescent="0.3">
      <c r="A549" t="s">
        <v>168</v>
      </c>
      <c r="B549" t="s">
        <v>92</v>
      </c>
      <c r="C549" t="s">
        <v>9</v>
      </c>
      <c r="D549">
        <v>12</v>
      </c>
      <c r="E549">
        <v>21886</v>
      </c>
      <c r="F549">
        <v>10965</v>
      </c>
      <c r="G549" t="s">
        <v>10</v>
      </c>
      <c r="H549" t="str">
        <f>TEXT(CleanData[[#This Row],[Date]],"mmm")</f>
        <v>Mar</v>
      </c>
      <c r="I549">
        <f>WEEKNUM(CleanData[[#This Row],[Date]])</f>
        <v>13</v>
      </c>
      <c r="J549">
        <f>IF(CleanData[[#This Row],[Revenue]]&gt;=CleanData[[#This Row],[Target]],1,0)</f>
        <v>1</v>
      </c>
      <c r="K549">
        <f>IF(CleanData[[#This Row],[Attendance_Status]]="Present",1,0)</f>
        <v>1</v>
      </c>
    </row>
    <row r="550" spans="1:11" x14ac:dyDescent="0.3">
      <c r="A550" t="s">
        <v>74</v>
      </c>
      <c r="B550" t="s">
        <v>8</v>
      </c>
      <c r="C550" t="s">
        <v>9</v>
      </c>
      <c r="D550">
        <v>7</v>
      </c>
      <c r="E550">
        <v>20747</v>
      </c>
      <c r="F550">
        <v>23360</v>
      </c>
      <c r="G550" t="s">
        <v>10</v>
      </c>
      <c r="H550" t="str">
        <f>TEXT(CleanData[[#This Row],[Date]],"mmm")</f>
        <v>Jun</v>
      </c>
      <c r="I550">
        <f>WEEKNUM(CleanData[[#This Row],[Date]])</f>
        <v>26</v>
      </c>
      <c r="J550">
        <f>IF(CleanData[[#This Row],[Revenue]]&gt;=CleanData[[#This Row],[Target]],1,0)</f>
        <v>0</v>
      </c>
      <c r="K550">
        <f>IF(CleanData[[#This Row],[Attendance_Status]]="Present",1,0)</f>
        <v>1</v>
      </c>
    </row>
    <row r="551" spans="1:11" x14ac:dyDescent="0.3">
      <c r="A551" t="s">
        <v>173</v>
      </c>
      <c r="B551" t="s">
        <v>52</v>
      </c>
      <c r="C551" t="s">
        <v>9</v>
      </c>
      <c r="D551">
        <v>9</v>
      </c>
      <c r="E551">
        <v>19029</v>
      </c>
      <c r="F551">
        <v>17999</v>
      </c>
      <c r="G551" t="s">
        <v>26</v>
      </c>
      <c r="H551" t="str">
        <f>TEXT(CleanData[[#This Row],[Date]],"mmm")</f>
        <v>Jun</v>
      </c>
      <c r="I551">
        <f>WEEKNUM(CleanData[[#This Row],[Date]])</f>
        <v>23</v>
      </c>
      <c r="J551">
        <f>IF(CleanData[[#This Row],[Revenue]]&gt;=CleanData[[#This Row],[Target]],1,0)</f>
        <v>1</v>
      </c>
      <c r="K551">
        <f>IF(CleanData[[#This Row],[Attendance_Status]]="Present",1,0)</f>
        <v>0</v>
      </c>
    </row>
    <row r="552" spans="1:11" x14ac:dyDescent="0.3">
      <c r="A552" t="s">
        <v>49</v>
      </c>
      <c r="B552" t="s">
        <v>17</v>
      </c>
      <c r="C552" t="s">
        <v>13</v>
      </c>
      <c r="D552">
        <v>13</v>
      </c>
      <c r="E552">
        <v>17093</v>
      </c>
      <c r="F552">
        <v>21772</v>
      </c>
      <c r="G552" t="s">
        <v>10</v>
      </c>
      <c r="H552" t="str">
        <f>TEXT(CleanData[[#This Row],[Date]],"mmm")</f>
        <v>Mar</v>
      </c>
      <c r="I552">
        <f>WEEKNUM(CleanData[[#This Row],[Date]])</f>
        <v>10</v>
      </c>
      <c r="J552">
        <f>IF(CleanData[[#This Row],[Revenue]]&gt;=CleanData[[#This Row],[Target]],1,0)</f>
        <v>0</v>
      </c>
      <c r="K552">
        <f>IF(CleanData[[#This Row],[Attendance_Status]]="Present",1,0)</f>
        <v>1</v>
      </c>
    </row>
    <row r="553" spans="1:11" x14ac:dyDescent="0.3">
      <c r="A553" t="s">
        <v>213</v>
      </c>
      <c r="B553" t="s">
        <v>56</v>
      </c>
      <c r="C553" t="s">
        <v>9</v>
      </c>
      <c r="D553">
        <v>12</v>
      </c>
      <c r="E553">
        <v>14756</v>
      </c>
      <c r="F553">
        <v>23450</v>
      </c>
      <c r="G553" t="s">
        <v>10</v>
      </c>
      <c r="H553" t="str">
        <f>TEXT(CleanData[[#This Row],[Date]],"mmm")</f>
        <v>Jan</v>
      </c>
      <c r="I553">
        <f>WEEKNUM(CleanData[[#This Row],[Date]])</f>
        <v>1</v>
      </c>
      <c r="J553">
        <f>IF(CleanData[[#This Row],[Revenue]]&gt;=CleanData[[#This Row],[Target]],1,0)</f>
        <v>0</v>
      </c>
      <c r="K553">
        <f>IF(CleanData[[#This Row],[Attendance_Status]]="Present",1,0)</f>
        <v>1</v>
      </c>
    </row>
    <row r="554" spans="1:11" x14ac:dyDescent="0.3">
      <c r="A554" t="s">
        <v>176</v>
      </c>
      <c r="B554" t="s">
        <v>101</v>
      </c>
      <c r="C554" t="s">
        <v>22</v>
      </c>
      <c r="D554">
        <v>13</v>
      </c>
      <c r="E554">
        <v>27114</v>
      </c>
      <c r="F554">
        <v>19750</v>
      </c>
      <c r="G554" t="s">
        <v>10</v>
      </c>
      <c r="H554" t="str">
        <f>TEXT(CleanData[[#This Row],[Date]],"mmm")</f>
        <v>Mar</v>
      </c>
      <c r="I554">
        <f>WEEKNUM(CleanData[[#This Row],[Date]])</f>
        <v>13</v>
      </c>
      <c r="J554">
        <f>IF(CleanData[[#This Row],[Revenue]]&gt;=CleanData[[#This Row],[Target]],1,0)</f>
        <v>1</v>
      </c>
      <c r="K554">
        <f>IF(CleanData[[#This Row],[Attendance_Status]]="Present",1,0)</f>
        <v>1</v>
      </c>
    </row>
    <row r="555" spans="1:11" x14ac:dyDescent="0.3">
      <c r="A555" t="s">
        <v>214</v>
      </c>
      <c r="B555" t="s">
        <v>37</v>
      </c>
      <c r="C555" t="s">
        <v>22</v>
      </c>
      <c r="D555">
        <v>18</v>
      </c>
      <c r="E555">
        <v>27740</v>
      </c>
      <c r="F555">
        <v>19126</v>
      </c>
      <c r="G555" t="s">
        <v>10</v>
      </c>
      <c r="H555" t="str">
        <f>TEXT(CleanData[[#This Row],[Date]],"mmm")</f>
        <v>Jun</v>
      </c>
      <c r="I555">
        <f>WEEKNUM(CleanData[[#This Row],[Date]])</f>
        <v>25</v>
      </c>
      <c r="J555">
        <f>IF(CleanData[[#This Row],[Revenue]]&gt;=CleanData[[#This Row],[Target]],1,0)</f>
        <v>1</v>
      </c>
      <c r="K555">
        <f>IF(CleanData[[#This Row],[Attendance_Status]]="Present",1,0)</f>
        <v>1</v>
      </c>
    </row>
    <row r="556" spans="1:11" x14ac:dyDescent="0.3">
      <c r="A556" t="s">
        <v>97</v>
      </c>
      <c r="B556" t="s">
        <v>31</v>
      </c>
      <c r="C556" t="s">
        <v>9</v>
      </c>
      <c r="D556">
        <v>7</v>
      </c>
      <c r="E556">
        <v>15766</v>
      </c>
      <c r="F556">
        <v>22577</v>
      </c>
      <c r="G556" t="s">
        <v>10</v>
      </c>
      <c r="H556" t="str">
        <f>TEXT(CleanData[[#This Row],[Date]],"mmm")</f>
        <v>Mar</v>
      </c>
      <c r="I556">
        <f>WEEKNUM(CleanData[[#This Row],[Date]])</f>
        <v>11</v>
      </c>
      <c r="J556">
        <f>IF(CleanData[[#This Row],[Revenue]]&gt;=CleanData[[#This Row],[Target]],1,0)</f>
        <v>0</v>
      </c>
      <c r="K556">
        <f>IF(CleanData[[#This Row],[Attendance_Status]]="Present",1,0)</f>
        <v>1</v>
      </c>
    </row>
    <row r="557" spans="1:11" x14ac:dyDescent="0.3">
      <c r="A557" t="s">
        <v>86</v>
      </c>
      <c r="B557" t="s">
        <v>42</v>
      </c>
      <c r="C557" t="s">
        <v>9</v>
      </c>
      <c r="D557">
        <v>6</v>
      </c>
      <c r="E557">
        <v>18923</v>
      </c>
      <c r="F557">
        <v>24313</v>
      </c>
      <c r="G557" t="s">
        <v>10</v>
      </c>
      <c r="H557" t="str">
        <f>TEXT(CleanData[[#This Row],[Date]],"mmm")</f>
        <v>Apr</v>
      </c>
      <c r="I557">
        <f>WEEKNUM(CleanData[[#This Row],[Date]])</f>
        <v>16</v>
      </c>
      <c r="J557">
        <f>IF(CleanData[[#This Row],[Revenue]]&gt;=CleanData[[#This Row],[Target]],1,0)</f>
        <v>0</v>
      </c>
      <c r="K557">
        <f>IF(CleanData[[#This Row],[Attendance_Status]]="Present",1,0)</f>
        <v>1</v>
      </c>
    </row>
    <row r="558" spans="1:11" x14ac:dyDescent="0.3">
      <c r="A558" t="s">
        <v>187</v>
      </c>
      <c r="B558" t="s">
        <v>73</v>
      </c>
      <c r="C558" t="s">
        <v>22</v>
      </c>
      <c r="D558">
        <v>24</v>
      </c>
      <c r="E558">
        <v>27723</v>
      </c>
      <c r="F558">
        <v>23572</v>
      </c>
      <c r="G558" t="s">
        <v>10</v>
      </c>
      <c r="H558" t="str">
        <f>TEXT(CleanData[[#This Row],[Date]],"mmm")</f>
        <v>Mar</v>
      </c>
      <c r="I558">
        <f>WEEKNUM(CleanData[[#This Row],[Date]])</f>
        <v>11</v>
      </c>
      <c r="J558">
        <f>IF(CleanData[[#This Row],[Revenue]]&gt;=CleanData[[#This Row],[Target]],1,0)</f>
        <v>1</v>
      </c>
      <c r="K558">
        <f>IF(CleanData[[#This Row],[Attendance_Status]]="Present",1,0)</f>
        <v>1</v>
      </c>
    </row>
    <row r="559" spans="1:11" x14ac:dyDescent="0.3">
      <c r="A559" t="s">
        <v>38</v>
      </c>
      <c r="B559" t="s">
        <v>40</v>
      </c>
      <c r="C559" t="s">
        <v>9</v>
      </c>
      <c r="D559">
        <v>22</v>
      </c>
      <c r="E559">
        <v>28867</v>
      </c>
      <c r="F559">
        <v>14070</v>
      </c>
      <c r="G559" t="s">
        <v>10</v>
      </c>
      <c r="H559" t="str">
        <f>TEXT(CleanData[[#This Row],[Date]],"mmm")</f>
        <v>Jan</v>
      </c>
      <c r="I559">
        <f>WEEKNUM(CleanData[[#This Row],[Date]])</f>
        <v>3</v>
      </c>
      <c r="J559">
        <f>IF(CleanData[[#This Row],[Revenue]]&gt;=CleanData[[#This Row],[Target]],1,0)</f>
        <v>1</v>
      </c>
      <c r="K559">
        <f>IF(CleanData[[#This Row],[Attendance_Status]]="Present",1,0)</f>
        <v>1</v>
      </c>
    </row>
    <row r="560" spans="1:11" x14ac:dyDescent="0.3">
      <c r="A560" t="s">
        <v>177</v>
      </c>
      <c r="B560" t="s">
        <v>64</v>
      </c>
      <c r="C560" t="s">
        <v>9</v>
      </c>
      <c r="D560">
        <v>7</v>
      </c>
      <c r="E560">
        <v>29658</v>
      </c>
      <c r="F560">
        <v>23893</v>
      </c>
      <c r="G560" t="s">
        <v>26</v>
      </c>
      <c r="H560" t="str">
        <f>TEXT(CleanData[[#This Row],[Date]],"mmm")</f>
        <v>Mar</v>
      </c>
      <c r="I560">
        <f>WEEKNUM(CleanData[[#This Row],[Date]])</f>
        <v>13</v>
      </c>
      <c r="J560">
        <f>IF(CleanData[[#This Row],[Revenue]]&gt;=CleanData[[#This Row],[Target]],1,0)</f>
        <v>1</v>
      </c>
      <c r="K560">
        <f>IF(CleanData[[#This Row],[Attendance_Status]]="Present",1,0)</f>
        <v>0</v>
      </c>
    </row>
    <row r="561" spans="1:11" x14ac:dyDescent="0.3">
      <c r="A561" t="s">
        <v>209</v>
      </c>
      <c r="B561" t="s">
        <v>54</v>
      </c>
      <c r="C561" t="s">
        <v>22</v>
      </c>
      <c r="D561">
        <v>14</v>
      </c>
      <c r="E561">
        <v>17771</v>
      </c>
      <c r="F561">
        <v>16645</v>
      </c>
      <c r="G561" t="s">
        <v>10</v>
      </c>
      <c r="H561" t="str">
        <f>TEXT(CleanData[[#This Row],[Date]],"mmm")</f>
        <v>Feb</v>
      </c>
      <c r="I561">
        <f>WEEKNUM(CleanData[[#This Row],[Date]])</f>
        <v>5</v>
      </c>
      <c r="J561">
        <f>IF(CleanData[[#This Row],[Revenue]]&gt;=CleanData[[#This Row],[Target]],1,0)</f>
        <v>1</v>
      </c>
      <c r="K561">
        <f>IF(CleanData[[#This Row],[Attendance_Status]]="Present",1,0)</f>
        <v>1</v>
      </c>
    </row>
    <row r="562" spans="1:11" x14ac:dyDescent="0.3">
      <c r="A562" t="s">
        <v>132</v>
      </c>
      <c r="B562" t="s">
        <v>73</v>
      </c>
      <c r="C562" t="s">
        <v>13</v>
      </c>
      <c r="D562">
        <v>11</v>
      </c>
      <c r="E562">
        <v>17287</v>
      </c>
      <c r="F562">
        <v>10969</v>
      </c>
      <c r="G562" t="s">
        <v>10</v>
      </c>
      <c r="H562" t="str">
        <f>TEXT(CleanData[[#This Row],[Date]],"mmm")</f>
        <v>Jun</v>
      </c>
      <c r="I562">
        <f>WEEKNUM(CleanData[[#This Row],[Date]])</f>
        <v>23</v>
      </c>
      <c r="J562">
        <f>IF(CleanData[[#This Row],[Revenue]]&gt;=CleanData[[#This Row],[Target]],1,0)</f>
        <v>1</v>
      </c>
      <c r="K562">
        <f>IF(CleanData[[#This Row],[Attendance_Status]]="Present",1,0)</f>
        <v>1</v>
      </c>
    </row>
    <row r="563" spans="1:11" x14ac:dyDescent="0.3">
      <c r="A563" t="s">
        <v>111</v>
      </c>
      <c r="B563" t="s">
        <v>54</v>
      </c>
      <c r="C563" t="s">
        <v>9</v>
      </c>
      <c r="D563">
        <v>15</v>
      </c>
      <c r="E563">
        <v>5114</v>
      </c>
      <c r="F563">
        <v>14752</v>
      </c>
      <c r="G563" t="s">
        <v>10</v>
      </c>
      <c r="H563" t="str">
        <f>TEXT(CleanData[[#This Row],[Date]],"mmm")</f>
        <v>Mar</v>
      </c>
      <c r="I563">
        <f>WEEKNUM(CleanData[[#This Row],[Date]])</f>
        <v>11</v>
      </c>
      <c r="J563">
        <f>IF(CleanData[[#This Row],[Revenue]]&gt;=CleanData[[#This Row],[Target]],1,0)</f>
        <v>0</v>
      </c>
      <c r="K563">
        <f>IF(CleanData[[#This Row],[Attendance_Status]]="Present",1,0)</f>
        <v>1</v>
      </c>
    </row>
    <row r="564" spans="1:11" x14ac:dyDescent="0.3">
      <c r="A564" t="s">
        <v>130</v>
      </c>
      <c r="B564" t="s">
        <v>15</v>
      </c>
      <c r="C564" t="s">
        <v>13</v>
      </c>
      <c r="D564">
        <v>20</v>
      </c>
      <c r="E564">
        <v>18343</v>
      </c>
      <c r="F564">
        <v>18686</v>
      </c>
      <c r="G564" t="s">
        <v>10</v>
      </c>
      <c r="H564" t="str">
        <f>TEXT(CleanData[[#This Row],[Date]],"mmm")</f>
        <v>May</v>
      </c>
      <c r="I564">
        <f>WEEKNUM(CleanData[[#This Row],[Date]])</f>
        <v>20</v>
      </c>
      <c r="J564">
        <f>IF(CleanData[[#This Row],[Revenue]]&gt;=CleanData[[#This Row],[Target]],1,0)</f>
        <v>0</v>
      </c>
      <c r="K564">
        <f>IF(CleanData[[#This Row],[Attendance_Status]]="Present",1,0)</f>
        <v>1</v>
      </c>
    </row>
    <row r="565" spans="1:11" x14ac:dyDescent="0.3">
      <c r="A565" t="s">
        <v>206</v>
      </c>
      <c r="B565" t="s">
        <v>56</v>
      </c>
      <c r="C565" t="s">
        <v>13</v>
      </c>
      <c r="D565">
        <v>10</v>
      </c>
      <c r="E565">
        <v>28757</v>
      </c>
      <c r="F565">
        <v>22229</v>
      </c>
      <c r="G565" t="s">
        <v>10</v>
      </c>
      <c r="H565" t="str">
        <f>TEXT(CleanData[[#This Row],[Date]],"mmm")</f>
        <v>Jun</v>
      </c>
      <c r="I565">
        <f>WEEKNUM(CleanData[[#This Row],[Date]])</f>
        <v>25</v>
      </c>
      <c r="J565">
        <f>IF(CleanData[[#This Row],[Revenue]]&gt;=CleanData[[#This Row],[Target]],1,0)</f>
        <v>1</v>
      </c>
      <c r="K565">
        <f>IF(CleanData[[#This Row],[Attendance_Status]]="Present",1,0)</f>
        <v>1</v>
      </c>
    </row>
    <row r="566" spans="1:11" x14ac:dyDescent="0.3">
      <c r="A566" t="s">
        <v>201</v>
      </c>
      <c r="B566" t="s">
        <v>48</v>
      </c>
      <c r="C566" t="s">
        <v>13</v>
      </c>
      <c r="D566">
        <v>21</v>
      </c>
      <c r="E566">
        <v>14223</v>
      </c>
      <c r="F566">
        <v>18493</v>
      </c>
      <c r="G566" t="s">
        <v>10</v>
      </c>
      <c r="H566" t="str">
        <f>TEXT(CleanData[[#This Row],[Date]],"mmm")</f>
        <v>Jan</v>
      </c>
      <c r="I566">
        <f>WEEKNUM(CleanData[[#This Row],[Date]])</f>
        <v>1</v>
      </c>
      <c r="J566">
        <f>IF(CleanData[[#This Row],[Revenue]]&gt;=CleanData[[#This Row],[Target]],1,0)</f>
        <v>0</v>
      </c>
      <c r="K566">
        <f>IF(CleanData[[#This Row],[Attendance_Status]]="Present",1,0)</f>
        <v>1</v>
      </c>
    </row>
    <row r="567" spans="1:11" x14ac:dyDescent="0.3">
      <c r="A567" t="s">
        <v>14</v>
      </c>
      <c r="B567" t="s">
        <v>52</v>
      </c>
      <c r="C567" t="s">
        <v>22</v>
      </c>
      <c r="D567">
        <v>21</v>
      </c>
      <c r="E567">
        <v>7257</v>
      </c>
      <c r="F567">
        <v>19075</v>
      </c>
      <c r="G567" t="s">
        <v>26</v>
      </c>
      <c r="H567" t="str">
        <f>TEXT(CleanData[[#This Row],[Date]],"mmm")</f>
        <v>Jun</v>
      </c>
      <c r="I567">
        <f>WEEKNUM(CleanData[[#This Row],[Date]])</f>
        <v>24</v>
      </c>
      <c r="J567">
        <f>IF(CleanData[[#This Row],[Revenue]]&gt;=CleanData[[#This Row],[Target]],1,0)</f>
        <v>0</v>
      </c>
      <c r="K567">
        <f>IF(CleanData[[#This Row],[Attendance_Status]]="Present",1,0)</f>
        <v>0</v>
      </c>
    </row>
    <row r="568" spans="1:11" x14ac:dyDescent="0.3">
      <c r="A568" t="s">
        <v>55</v>
      </c>
      <c r="B568" t="s">
        <v>8</v>
      </c>
      <c r="C568" t="s">
        <v>13</v>
      </c>
      <c r="D568">
        <v>14</v>
      </c>
      <c r="E568">
        <v>29441</v>
      </c>
      <c r="F568">
        <v>15453</v>
      </c>
      <c r="G568" t="s">
        <v>10</v>
      </c>
      <c r="H568" t="str">
        <f>TEXT(CleanData[[#This Row],[Date]],"mmm")</f>
        <v>Feb</v>
      </c>
      <c r="I568">
        <f>WEEKNUM(CleanData[[#This Row],[Date]])</f>
        <v>8</v>
      </c>
      <c r="J568">
        <f>IF(CleanData[[#This Row],[Revenue]]&gt;=CleanData[[#This Row],[Target]],1,0)</f>
        <v>1</v>
      </c>
      <c r="K568">
        <f>IF(CleanData[[#This Row],[Attendance_Status]]="Present",1,0)</f>
        <v>1</v>
      </c>
    </row>
    <row r="569" spans="1:11" x14ac:dyDescent="0.3">
      <c r="A569" t="s">
        <v>65</v>
      </c>
      <c r="B569" t="s">
        <v>17</v>
      </c>
      <c r="C569" t="s">
        <v>22</v>
      </c>
      <c r="D569">
        <v>10</v>
      </c>
      <c r="E569">
        <v>14324</v>
      </c>
      <c r="F569">
        <v>19413</v>
      </c>
      <c r="G569" t="s">
        <v>10</v>
      </c>
      <c r="H569" t="str">
        <f>TEXT(CleanData[[#This Row],[Date]],"mmm")</f>
        <v>Apr</v>
      </c>
      <c r="I569">
        <f>WEEKNUM(CleanData[[#This Row],[Date]])</f>
        <v>14</v>
      </c>
      <c r="J569">
        <f>IF(CleanData[[#This Row],[Revenue]]&gt;=CleanData[[#This Row],[Target]],1,0)</f>
        <v>0</v>
      </c>
      <c r="K569">
        <f>IF(CleanData[[#This Row],[Attendance_Status]]="Present",1,0)</f>
        <v>1</v>
      </c>
    </row>
    <row r="570" spans="1:11" x14ac:dyDescent="0.3">
      <c r="A570" t="s">
        <v>140</v>
      </c>
      <c r="B570" t="s">
        <v>73</v>
      </c>
      <c r="C570" t="s">
        <v>13</v>
      </c>
      <c r="D570">
        <v>16</v>
      </c>
      <c r="E570">
        <v>5752</v>
      </c>
      <c r="F570">
        <v>23179</v>
      </c>
      <c r="G570" t="s">
        <v>10</v>
      </c>
      <c r="H570" t="str">
        <f>TEXT(CleanData[[#This Row],[Date]],"mmm")</f>
        <v>Apr</v>
      </c>
      <c r="I570">
        <f>WEEKNUM(CleanData[[#This Row],[Date]])</f>
        <v>15</v>
      </c>
      <c r="J570">
        <f>IF(CleanData[[#This Row],[Revenue]]&gt;=CleanData[[#This Row],[Target]],1,0)</f>
        <v>0</v>
      </c>
      <c r="K570">
        <f>IF(CleanData[[#This Row],[Attendance_Status]]="Present",1,0)</f>
        <v>1</v>
      </c>
    </row>
    <row r="571" spans="1:11" x14ac:dyDescent="0.3">
      <c r="A571" t="s">
        <v>193</v>
      </c>
      <c r="B571" t="s">
        <v>54</v>
      </c>
      <c r="C571" t="s">
        <v>9</v>
      </c>
      <c r="D571">
        <v>24</v>
      </c>
      <c r="E571">
        <v>13366</v>
      </c>
      <c r="F571">
        <v>21189</v>
      </c>
      <c r="G571" t="s">
        <v>10</v>
      </c>
      <c r="H571" t="str">
        <f>TEXT(CleanData[[#This Row],[Date]],"mmm")</f>
        <v>May</v>
      </c>
      <c r="I571">
        <f>WEEKNUM(CleanData[[#This Row],[Date]])</f>
        <v>22</v>
      </c>
      <c r="J571">
        <f>IF(CleanData[[#This Row],[Revenue]]&gt;=CleanData[[#This Row],[Target]],1,0)</f>
        <v>0</v>
      </c>
      <c r="K571">
        <f>IF(CleanData[[#This Row],[Attendance_Status]]="Present",1,0)</f>
        <v>1</v>
      </c>
    </row>
    <row r="572" spans="1:11" x14ac:dyDescent="0.3">
      <c r="A572" t="s">
        <v>165</v>
      </c>
      <c r="B572" t="s">
        <v>12</v>
      </c>
      <c r="C572" t="s">
        <v>13</v>
      </c>
      <c r="D572">
        <v>15</v>
      </c>
      <c r="E572">
        <v>26223</v>
      </c>
      <c r="F572">
        <v>23887</v>
      </c>
      <c r="G572" t="s">
        <v>10</v>
      </c>
      <c r="H572" t="str">
        <f>TEXT(CleanData[[#This Row],[Date]],"mmm")</f>
        <v>Feb</v>
      </c>
      <c r="I572">
        <f>WEEKNUM(CleanData[[#This Row],[Date]])</f>
        <v>9</v>
      </c>
      <c r="J572">
        <f>IF(CleanData[[#This Row],[Revenue]]&gt;=CleanData[[#This Row],[Target]],1,0)</f>
        <v>1</v>
      </c>
      <c r="K572">
        <f>IF(CleanData[[#This Row],[Attendance_Status]]="Present",1,0)</f>
        <v>1</v>
      </c>
    </row>
    <row r="573" spans="1:11" x14ac:dyDescent="0.3">
      <c r="A573" t="s">
        <v>159</v>
      </c>
      <c r="B573" t="s">
        <v>33</v>
      </c>
      <c r="C573" t="s">
        <v>13</v>
      </c>
      <c r="D573">
        <v>23</v>
      </c>
      <c r="E573">
        <v>6252</v>
      </c>
      <c r="F573">
        <v>16357</v>
      </c>
      <c r="G573" t="s">
        <v>10</v>
      </c>
      <c r="H573" t="str">
        <f>TEXT(CleanData[[#This Row],[Date]],"mmm")</f>
        <v>May</v>
      </c>
      <c r="I573">
        <f>WEEKNUM(CleanData[[#This Row],[Date]])</f>
        <v>18</v>
      </c>
      <c r="J573">
        <f>IF(CleanData[[#This Row],[Revenue]]&gt;=CleanData[[#This Row],[Target]],1,0)</f>
        <v>0</v>
      </c>
      <c r="K573">
        <f>IF(CleanData[[#This Row],[Attendance_Status]]="Present",1,0)</f>
        <v>1</v>
      </c>
    </row>
    <row r="574" spans="1:11" x14ac:dyDescent="0.3">
      <c r="A574" t="s">
        <v>119</v>
      </c>
      <c r="B574" t="s">
        <v>54</v>
      </c>
      <c r="C574" t="s">
        <v>9</v>
      </c>
      <c r="D574">
        <v>11</v>
      </c>
      <c r="E574">
        <v>21011</v>
      </c>
      <c r="F574">
        <v>21088</v>
      </c>
      <c r="G574" t="s">
        <v>10</v>
      </c>
      <c r="H574" t="str">
        <f>TEXT(CleanData[[#This Row],[Date]],"mmm")</f>
        <v>Jan</v>
      </c>
      <c r="I574">
        <f>WEEKNUM(CleanData[[#This Row],[Date]])</f>
        <v>4</v>
      </c>
      <c r="J574">
        <f>IF(CleanData[[#This Row],[Revenue]]&gt;=CleanData[[#This Row],[Target]],1,0)</f>
        <v>0</v>
      </c>
      <c r="K574">
        <f>IF(CleanData[[#This Row],[Attendance_Status]]="Present",1,0)</f>
        <v>1</v>
      </c>
    </row>
    <row r="575" spans="1:11" x14ac:dyDescent="0.3">
      <c r="A575" t="s">
        <v>83</v>
      </c>
      <c r="B575" t="s">
        <v>120</v>
      </c>
      <c r="C575" t="s">
        <v>22</v>
      </c>
      <c r="D575">
        <v>19</v>
      </c>
      <c r="E575">
        <v>26305</v>
      </c>
      <c r="F575">
        <v>10831</v>
      </c>
      <c r="G575" t="s">
        <v>10</v>
      </c>
      <c r="H575" t="str">
        <f>TEXT(CleanData[[#This Row],[Date]],"mmm")</f>
        <v>Mar</v>
      </c>
      <c r="I575">
        <f>WEEKNUM(CleanData[[#This Row],[Date]])</f>
        <v>10</v>
      </c>
      <c r="J575">
        <f>IF(CleanData[[#This Row],[Revenue]]&gt;=CleanData[[#This Row],[Target]],1,0)</f>
        <v>1</v>
      </c>
      <c r="K575">
        <f>IF(CleanData[[#This Row],[Attendance_Status]]="Present",1,0)</f>
        <v>1</v>
      </c>
    </row>
    <row r="576" spans="1:11" x14ac:dyDescent="0.3">
      <c r="A576" t="s">
        <v>150</v>
      </c>
      <c r="B576" t="s">
        <v>73</v>
      </c>
      <c r="C576" t="s">
        <v>13</v>
      </c>
      <c r="D576">
        <v>10</v>
      </c>
      <c r="E576">
        <v>7399</v>
      </c>
      <c r="F576">
        <v>17145</v>
      </c>
      <c r="G576" t="s">
        <v>10</v>
      </c>
      <c r="H576" t="str">
        <f>TEXT(CleanData[[#This Row],[Date]],"mmm")</f>
        <v>Feb</v>
      </c>
      <c r="I576">
        <f>WEEKNUM(CleanData[[#This Row],[Date]])</f>
        <v>6</v>
      </c>
      <c r="J576">
        <f>IF(CleanData[[#This Row],[Revenue]]&gt;=CleanData[[#This Row],[Target]],1,0)</f>
        <v>0</v>
      </c>
      <c r="K576">
        <f>IF(CleanData[[#This Row],[Attendance_Status]]="Present",1,0)</f>
        <v>1</v>
      </c>
    </row>
    <row r="577" spans="1:11" x14ac:dyDescent="0.3">
      <c r="A577" t="s">
        <v>43</v>
      </c>
      <c r="B577" t="s">
        <v>21</v>
      </c>
      <c r="C577" t="s">
        <v>9</v>
      </c>
      <c r="D577">
        <v>22</v>
      </c>
      <c r="E577">
        <v>24974</v>
      </c>
      <c r="F577">
        <v>12587</v>
      </c>
      <c r="G577" t="s">
        <v>10</v>
      </c>
      <c r="H577" t="str">
        <f>TEXT(CleanData[[#This Row],[Date]],"mmm")</f>
        <v>Feb</v>
      </c>
      <c r="I577">
        <f>WEEKNUM(CleanData[[#This Row],[Date]])</f>
        <v>8</v>
      </c>
      <c r="J577">
        <f>IF(CleanData[[#This Row],[Revenue]]&gt;=CleanData[[#This Row],[Target]],1,0)</f>
        <v>1</v>
      </c>
      <c r="K577">
        <f>IF(CleanData[[#This Row],[Attendance_Status]]="Present",1,0)</f>
        <v>1</v>
      </c>
    </row>
    <row r="578" spans="1:11" x14ac:dyDescent="0.3">
      <c r="A578" t="s">
        <v>154</v>
      </c>
      <c r="B578" t="s">
        <v>50</v>
      </c>
      <c r="C578" t="s">
        <v>13</v>
      </c>
      <c r="D578">
        <v>23</v>
      </c>
      <c r="E578">
        <v>11936</v>
      </c>
      <c r="F578">
        <v>20699</v>
      </c>
      <c r="G578" t="s">
        <v>26</v>
      </c>
      <c r="H578" t="str">
        <f>TEXT(CleanData[[#This Row],[Date]],"mmm")</f>
        <v>Jun</v>
      </c>
      <c r="I578">
        <f>WEEKNUM(CleanData[[#This Row],[Date]])</f>
        <v>24</v>
      </c>
      <c r="J578">
        <f>IF(CleanData[[#This Row],[Revenue]]&gt;=CleanData[[#This Row],[Target]],1,0)</f>
        <v>0</v>
      </c>
      <c r="K578">
        <f>IF(CleanData[[#This Row],[Attendance_Status]]="Present",1,0)</f>
        <v>0</v>
      </c>
    </row>
    <row r="579" spans="1:11" x14ac:dyDescent="0.3">
      <c r="A579" t="s">
        <v>62</v>
      </c>
      <c r="B579" t="s">
        <v>17</v>
      </c>
      <c r="C579" t="s">
        <v>9</v>
      </c>
      <c r="D579">
        <v>14</v>
      </c>
      <c r="E579">
        <v>24906</v>
      </c>
      <c r="F579">
        <v>10529</v>
      </c>
      <c r="G579" t="s">
        <v>26</v>
      </c>
      <c r="H579" t="str">
        <f>TEXT(CleanData[[#This Row],[Date]],"mmm")</f>
        <v>Jan</v>
      </c>
      <c r="I579">
        <f>WEEKNUM(CleanData[[#This Row],[Date]])</f>
        <v>4</v>
      </c>
      <c r="J579">
        <f>IF(CleanData[[#This Row],[Revenue]]&gt;=CleanData[[#This Row],[Target]],1,0)</f>
        <v>1</v>
      </c>
      <c r="K579">
        <f>IF(CleanData[[#This Row],[Attendance_Status]]="Present",1,0)</f>
        <v>0</v>
      </c>
    </row>
    <row r="580" spans="1:11" x14ac:dyDescent="0.3">
      <c r="A580" t="s">
        <v>167</v>
      </c>
      <c r="B580" t="s">
        <v>75</v>
      </c>
      <c r="C580" t="s">
        <v>22</v>
      </c>
      <c r="D580">
        <v>22</v>
      </c>
      <c r="E580">
        <v>6758</v>
      </c>
      <c r="F580">
        <v>19238</v>
      </c>
      <c r="G580" t="s">
        <v>10</v>
      </c>
      <c r="H580" t="str">
        <f>TEXT(CleanData[[#This Row],[Date]],"mmm")</f>
        <v>May</v>
      </c>
      <c r="I580">
        <f>WEEKNUM(CleanData[[#This Row],[Date]])</f>
        <v>19</v>
      </c>
      <c r="J580">
        <f>IF(CleanData[[#This Row],[Revenue]]&gt;=CleanData[[#This Row],[Target]],1,0)</f>
        <v>0</v>
      </c>
      <c r="K580">
        <f>IF(CleanData[[#This Row],[Attendance_Status]]="Present",1,0)</f>
        <v>1</v>
      </c>
    </row>
    <row r="581" spans="1:11" x14ac:dyDescent="0.3">
      <c r="A581" t="s">
        <v>58</v>
      </c>
      <c r="B581" t="s">
        <v>64</v>
      </c>
      <c r="C581" t="s">
        <v>9</v>
      </c>
      <c r="D581">
        <v>20</v>
      </c>
      <c r="E581">
        <v>25924</v>
      </c>
      <c r="F581">
        <v>19762</v>
      </c>
      <c r="G581" t="s">
        <v>10</v>
      </c>
      <c r="H581" t="str">
        <f>TEXT(CleanData[[#This Row],[Date]],"mmm")</f>
        <v>May</v>
      </c>
      <c r="I581">
        <f>WEEKNUM(CleanData[[#This Row],[Date]])</f>
        <v>21</v>
      </c>
      <c r="J581">
        <f>IF(CleanData[[#This Row],[Revenue]]&gt;=CleanData[[#This Row],[Target]],1,0)</f>
        <v>1</v>
      </c>
      <c r="K581">
        <f>IF(CleanData[[#This Row],[Attendance_Status]]="Present",1,0)</f>
        <v>1</v>
      </c>
    </row>
    <row r="582" spans="1:11" x14ac:dyDescent="0.3">
      <c r="A582" t="s">
        <v>99</v>
      </c>
      <c r="B582" t="s">
        <v>48</v>
      </c>
      <c r="C582" t="s">
        <v>22</v>
      </c>
      <c r="D582">
        <v>12</v>
      </c>
      <c r="E582">
        <v>20269</v>
      </c>
      <c r="F582">
        <v>14834</v>
      </c>
      <c r="G582" t="s">
        <v>26</v>
      </c>
      <c r="H582" t="str">
        <f>TEXT(CleanData[[#This Row],[Date]],"mmm")</f>
        <v>May</v>
      </c>
      <c r="I582">
        <f>WEEKNUM(CleanData[[#This Row],[Date]])</f>
        <v>22</v>
      </c>
      <c r="J582">
        <f>IF(CleanData[[#This Row],[Revenue]]&gt;=CleanData[[#This Row],[Target]],1,0)</f>
        <v>1</v>
      </c>
      <c r="K582">
        <f>IF(CleanData[[#This Row],[Attendance_Status]]="Present",1,0)</f>
        <v>0</v>
      </c>
    </row>
    <row r="583" spans="1:11" x14ac:dyDescent="0.3">
      <c r="A583" t="s">
        <v>144</v>
      </c>
      <c r="B583" t="s">
        <v>8</v>
      </c>
      <c r="C583" t="s">
        <v>22</v>
      </c>
      <c r="D583">
        <v>25</v>
      </c>
      <c r="E583">
        <v>29129</v>
      </c>
      <c r="F583">
        <v>21304</v>
      </c>
      <c r="G583" t="s">
        <v>10</v>
      </c>
      <c r="H583" t="str">
        <f>TEXT(CleanData[[#This Row],[Date]],"mmm")</f>
        <v>Jan</v>
      </c>
      <c r="I583">
        <f>WEEKNUM(CleanData[[#This Row],[Date]])</f>
        <v>1</v>
      </c>
      <c r="J583">
        <f>IF(CleanData[[#This Row],[Revenue]]&gt;=CleanData[[#This Row],[Target]],1,0)</f>
        <v>1</v>
      </c>
      <c r="K583">
        <f>IF(CleanData[[#This Row],[Attendance_Status]]="Present",1,0)</f>
        <v>1</v>
      </c>
    </row>
    <row r="584" spans="1:11" x14ac:dyDescent="0.3">
      <c r="A584" t="s">
        <v>159</v>
      </c>
      <c r="B584" t="s">
        <v>56</v>
      </c>
      <c r="C584" t="s">
        <v>13</v>
      </c>
      <c r="D584">
        <v>19</v>
      </c>
      <c r="E584">
        <v>28794</v>
      </c>
      <c r="F584">
        <v>18076</v>
      </c>
      <c r="G584" t="s">
        <v>26</v>
      </c>
      <c r="H584" t="str">
        <f>TEXT(CleanData[[#This Row],[Date]],"mmm")</f>
        <v>May</v>
      </c>
      <c r="I584">
        <f>WEEKNUM(CleanData[[#This Row],[Date]])</f>
        <v>18</v>
      </c>
      <c r="J584">
        <f>IF(CleanData[[#This Row],[Revenue]]&gt;=CleanData[[#This Row],[Target]],1,0)</f>
        <v>1</v>
      </c>
      <c r="K584">
        <f>IF(CleanData[[#This Row],[Attendance_Status]]="Present",1,0)</f>
        <v>0</v>
      </c>
    </row>
    <row r="585" spans="1:11" x14ac:dyDescent="0.3">
      <c r="A585" t="s">
        <v>195</v>
      </c>
      <c r="B585" t="s">
        <v>48</v>
      </c>
      <c r="C585" t="s">
        <v>9</v>
      </c>
      <c r="D585">
        <v>20</v>
      </c>
      <c r="E585">
        <v>23324</v>
      </c>
      <c r="F585">
        <v>23230</v>
      </c>
      <c r="G585" t="s">
        <v>26</v>
      </c>
      <c r="H585" t="str">
        <f>TEXT(CleanData[[#This Row],[Date]],"mmm")</f>
        <v>Feb</v>
      </c>
      <c r="I585">
        <f>WEEKNUM(CleanData[[#This Row],[Date]])</f>
        <v>8</v>
      </c>
      <c r="J585">
        <f>IF(CleanData[[#This Row],[Revenue]]&gt;=CleanData[[#This Row],[Target]],1,0)</f>
        <v>1</v>
      </c>
      <c r="K585">
        <f>IF(CleanData[[#This Row],[Attendance_Status]]="Present",1,0)</f>
        <v>0</v>
      </c>
    </row>
    <row r="586" spans="1:11" x14ac:dyDescent="0.3">
      <c r="A586" t="s">
        <v>173</v>
      </c>
      <c r="B586" t="s">
        <v>52</v>
      </c>
      <c r="C586" t="s">
        <v>22</v>
      </c>
      <c r="D586">
        <v>20</v>
      </c>
      <c r="E586">
        <v>11850</v>
      </c>
      <c r="F586">
        <v>23069</v>
      </c>
      <c r="G586" t="s">
        <v>10</v>
      </c>
      <c r="H586" t="str">
        <f>TEXT(CleanData[[#This Row],[Date]],"mmm")</f>
        <v>Jun</v>
      </c>
      <c r="I586">
        <f>WEEKNUM(CleanData[[#This Row],[Date]])</f>
        <v>23</v>
      </c>
      <c r="J586">
        <f>IF(CleanData[[#This Row],[Revenue]]&gt;=CleanData[[#This Row],[Target]],1,0)</f>
        <v>0</v>
      </c>
      <c r="K586">
        <f>IF(CleanData[[#This Row],[Attendance_Status]]="Present",1,0)</f>
        <v>1</v>
      </c>
    </row>
    <row r="587" spans="1:11" x14ac:dyDescent="0.3">
      <c r="A587" t="s">
        <v>39</v>
      </c>
      <c r="B587" t="s">
        <v>8</v>
      </c>
      <c r="C587" t="s">
        <v>9</v>
      </c>
      <c r="D587">
        <v>8</v>
      </c>
      <c r="E587">
        <v>14800</v>
      </c>
      <c r="F587">
        <v>15394</v>
      </c>
      <c r="G587" t="s">
        <v>10</v>
      </c>
      <c r="H587" t="str">
        <f>TEXT(CleanData[[#This Row],[Date]],"mmm")</f>
        <v>Feb</v>
      </c>
      <c r="I587">
        <f>WEEKNUM(CleanData[[#This Row],[Date]])</f>
        <v>8</v>
      </c>
      <c r="J587">
        <f>IF(CleanData[[#This Row],[Revenue]]&gt;=CleanData[[#This Row],[Target]],1,0)</f>
        <v>0</v>
      </c>
      <c r="K587">
        <f>IF(CleanData[[#This Row],[Attendance_Status]]="Present",1,0)</f>
        <v>1</v>
      </c>
    </row>
    <row r="588" spans="1:11" x14ac:dyDescent="0.3">
      <c r="A588" t="s">
        <v>43</v>
      </c>
      <c r="B588" t="s">
        <v>46</v>
      </c>
      <c r="C588" t="s">
        <v>9</v>
      </c>
      <c r="D588">
        <v>6</v>
      </c>
      <c r="E588">
        <v>18315</v>
      </c>
      <c r="F588">
        <v>17632</v>
      </c>
      <c r="G588" t="s">
        <v>26</v>
      </c>
      <c r="H588" t="str">
        <f>TEXT(CleanData[[#This Row],[Date]],"mmm")</f>
        <v>Feb</v>
      </c>
      <c r="I588">
        <f>WEEKNUM(CleanData[[#This Row],[Date]])</f>
        <v>8</v>
      </c>
      <c r="J588">
        <f>IF(CleanData[[#This Row],[Revenue]]&gt;=CleanData[[#This Row],[Target]],1,0)</f>
        <v>1</v>
      </c>
      <c r="K588">
        <f>IF(CleanData[[#This Row],[Attendance_Status]]="Present",1,0)</f>
        <v>0</v>
      </c>
    </row>
    <row r="589" spans="1:11" x14ac:dyDescent="0.3">
      <c r="A589" t="s">
        <v>63</v>
      </c>
      <c r="B589" t="s">
        <v>120</v>
      </c>
      <c r="C589" t="s">
        <v>22</v>
      </c>
      <c r="D589">
        <v>22</v>
      </c>
      <c r="E589">
        <v>9247</v>
      </c>
      <c r="F589">
        <v>11902</v>
      </c>
      <c r="G589" t="s">
        <v>10</v>
      </c>
      <c r="H589" t="str">
        <f>TEXT(CleanData[[#This Row],[Date]],"mmm")</f>
        <v>Jun</v>
      </c>
      <c r="I589">
        <f>WEEKNUM(CleanData[[#This Row],[Date]])</f>
        <v>24</v>
      </c>
      <c r="J589">
        <f>IF(CleanData[[#This Row],[Revenue]]&gt;=CleanData[[#This Row],[Target]],1,0)</f>
        <v>0</v>
      </c>
      <c r="K589">
        <f>IF(CleanData[[#This Row],[Attendance_Status]]="Present",1,0)</f>
        <v>1</v>
      </c>
    </row>
    <row r="590" spans="1:11" x14ac:dyDescent="0.3">
      <c r="A590" t="s">
        <v>125</v>
      </c>
      <c r="B590" t="s">
        <v>54</v>
      </c>
      <c r="C590" t="s">
        <v>9</v>
      </c>
      <c r="D590">
        <v>23</v>
      </c>
      <c r="E590">
        <v>25755</v>
      </c>
      <c r="F590">
        <v>12630</v>
      </c>
      <c r="G590" t="s">
        <v>10</v>
      </c>
      <c r="H590" t="str">
        <f>TEXT(CleanData[[#This Row],[Date]],"mmm")</f>
        <v>Jun</v>
      </c>
      <c r="I590">
        <f>WEEKNUM(CleanData[[#This Row],[Date]])</f>
        <v>26</v>
      </c>
      <c r="J590">
        <f>IF(CleanData[[#This Row],[Revenue]]&gt;=CleanData[[#This Row],[Target]],1,0)</f>
        <v>1</v>
      </c>
      <c r="K590">
        <f>IF(CleanData[[#This Row],[Attendance_Status]]="Present",1,0)</f>
        <v>1</v>
      </c>
    </row>
    <row r="591" spans="1:11" x14ac:dyDescent="0.3">
      <c r="A591" t="s">
        <v>215</v>
      </c>
      <c r="B591" t="s">
        <v>101</v>
      </c>
      <c r="C591" t="s">
        <v>22</v>
      </c>
      <c r="D591">
        <v>10</v>
      </c>
      <c r="E591">
        <v>24670</v>
      </c>
      <c r="F591">
        <v>22269</v>
      </c>
      <c r="G591" t="s">
        <v>10</v>
      </c>
      <c r="H591" t="str">
        <f>TEXT(CleanData[[#This Row],[Date]],"mmm")</f>
        <v>Jan</v>
      </c>
      <c r="I591">
        <f>WEEKNUM(CleanData[[#This Row],[Date]])</f>
        <v>3</v>
      </c>
      <c r="J591">
        <f>IF(CleanData[[#This Row],[Revenue]]&gt;=CleanData[[#This Row],[Target]],1,0)</f>
        <v>1</v>
      </c>
      <c r="K591">
        <f>IF(CleanData[[#This Row],[Attendance_Status]]="Present",1,0)</f>
        <v>1</v>
      </c>
    </row>
    <row r="592" spans="1:11" x14ac:dyDescent="0.3">
      <c r="A592" t="s">
        <v>141</v>
      </c>
      <c r="B592" t="s">
        <v>54</v>
      </c>
      <c r="C592" t="s">
        <v>22</v>
      </c>
      <c r="D592">
        <v>5</v>
      </c>
      <c r="E592">
        <v>25731</v>
      </c>
      <c r="F592">
        <v>16921</v>
      </c>
      <c r="G592" t="s">
        <v>10</v>
      </c>
      <c r="H592" t="str">
        <f>TEXT(CleanData[[#This Row],[Date]],"mmm")</f>
        <v>Feb</v>
      </c>
      <c r="I592">
        <f>WEEKNUM(CleanData[[#This Row],[Date]])</f>
        <v>8</v>
      </c>
      <c r="J592">
        <f>IF(CleanData[[#This Row],[Revenue]]&gt;=CleanData[[#This Row],[Target]],1,0)</f>
        <v>1</v>
      </c>
      <c r="K592">
        <f>IF(CleanData[[#This Row],[Attendance_Status]]="Present",1,0)</f>
        <v>1</v>
      </c>
    </row>
    <row r="593" spans="1:11" x14ac:dyDescent="0.3">
      <c r="A593" t="s">
        <v>70</v>
      </c>
      <c r="B593" t="s">
        <v>42</v>
      </c>
      <c r="C593" t="s">
        <v>22</v>
      </c>
      <c r="D593">
        <v>6</v>
      </c>
      <c r="E593">
        <v>13306</v>
      </c>
      <c r="F593">
        <v>13678</v>
      </c>
      <c r="G593" t="s">
        <v>10</v>
      </c>
      <c r="H593" t="str">
        <f>TEXT(CleanData[[#This Row],[Date]],"mmm")</f>
        <v>May</v>
      </c>
      <c r="I593">
        <f>WEEKNUM(CleanData[[#This Row],[Date]])</f>
        <v>19</v>
      </c>
      <c r="J593">
        <f>IF(CleanData[[#This Row],[Revenue]]&gt;=CleanData[[#This Row],[Target]],1,0)</f>
        <v>0</v>
      </c>
      <c r="K593">
        <f>IF(CleanData[[#This Row],[Attendance_Status]]="Present",1,0)</f>
        <v>1</v>
      </c>
    </row>
    <row r="594" spans="1:11" x14ac:dyDescent="0.3">
      <c r="A594" t="s">
        <v>215</v>
      </c>
      <c r="B594" t="s">
        <v>92</v>
      </c>
      <c r="C594" t="s">
        <v>13</v>
      </c>
      <c r="D594">
        <v>18</v>
      </c>
      <c r="E594">
        <v>20993</v>
      </c>
      <c r="F594">
        <v>12718</v>
      </c>
      <c r="G594" t="s">
        <v>10</v>
      </c>
      <c r="H594" t="str">
        <f>TEXT(CleanData[[#This Row],[Date]],"mmm")</f>
        <v>Jan</v>
      </c>
      <c r="I594">
        <f>WEEKNUM(CleanData[[#This Row],[Date]])</f>
        <v>3</v>
      </c>
      <c r="J594">
        <f>IF(CleanData[[#This Row],[Revenue]]&gt;=CleanData[[#This Row],[Target]],1,0)</f>
        <v>1</v>
      </c>
      <c r="K594">
        <f>IF(CleanData[[#This Row],[Attendance_Status]]="Present",1,0)</f>
        <v>1</v>
      </c>
    </row>
    <row r="595" spans="1:11" x14ac:dyDescent="0.3">
      <c r="A595" t="s">
        <v>192</v>
      </c>
      <c r="B595" t="s">
        <v>69</v>
      </c>
      <c r="C595" t="s">
        <v>9</v>
      </c>
      <c r="D595">
        <v>11</v>
      </c>
      <c r="E595">
        <v>18974</v>
      </c>
      <c r="F595">
        <v>17595</v>
      </c>
      <c r="G595" t="s">
        <v>10</v>
      </c>
      <c r="H595" t="str">
        <f>TEXT(CleanData[[#This Row],[Date]],"mmm")</f>
        <v>Jan</v>
      </c>
      <c r="I595">
        <f>WEEKNUM(CleanData[[#This Row],[Date]])</f>
        <v>3</v>
      </c>
      <c r="J595">
        <f>IF(CleanData[[#This Row],[Revenue]]&gt;=CleanData[[#This Row],[Target]],1,0)</f>
        <v>1</v>
      </c>
      <c r="K595">
        <f>IF(CleanData[[#This Row],[Attendance_Status]]="Present",1,0)</f>
        <v>1</v>
      </c>
    </row>
    <row r="596" spans="1:11" x14ac:dyDescent="0.3">
      <c r="A596" t="s">
        <v>90</v>
      </c>
      <c r="B596" t="s">
        <v>19</v>
      </c>
      <c r="C596" t="s">
        <v>13</v>
      </c>
      <c r="D596">
        <v>10</v>
      </c>
      <c r="E596">
        <v>20739</v>
      </c>
      <c r="F596">
        <v>10605</v>
      </c>
      <c r="G596" t="s">
        <v>10</v>
      </c>
      <c r="H596" t="str">
        <f>TEXT(CleanData[[#This Row],[Date]],"mmm")</f>
        <v>May</v>
      </c>
      <c r="I596">
        <f>WEEKNUM(CleanData[[#This Row],[Date]])</f>
        <v>19</v>
      </c>
      <c r="J596">
        <f>IF(CleanData[[#This Row],[Revenue]]&gt;=CleanData[[#This Row],[Target]],1,0)</f>
        <v>1</v>
      </c>
      <c r="K596">
        <f>IF(CleanData[[#This Row],[Attendance_Status]]="Present",1,0)</f>
        <v>1</v>
      </c>
    </row>
    <row r="597" spans="1:11" x14ac:dyDescent="0.3">
      <c r="A597" t="s">
        <v>143</v>
      </c>
      <c r="B597" t="s">
        <v>120</v>
      </c>
      <c r="C597" t="s">
        <v>13</v>
      </c>
      <c r="D597">
        <v>22</v>
      </c>
      <c r="E597">
        <v>21603</v>
      </c>
      <c r="F597">
        <v>14494</v>
      </c>
      <c r="G597" t="s">
        <v>10</v>
      </c>
      <c r="H597" t="str">
        <f>TEXT(CleanData[[#This Row],[Date]],"mmm")</f>
        <v>Jan</v>
      </c>
      <c r="I597">
        <f>WEEKNUM(CleanData[[#This Row],[Date]])</f>
        <v>2</v>
      </c>
      <c r="J597">
        <f>IF(CleanData[[#This Row],[Revenue]]&gt;=CleanData[[#This Row],[Target]],1,0)</f>
        <v>1</v>
      </c>
      <c r="K597">
        <f>IF(CleanData[[#This Row],[Attendance_Status]]="Present",1,0)</f>
        <v>1</v>
      </c>
    </row>
    <row r="598" spans="1:11" x14ac:dyDescent="0.3">
      <c r="A598" t="s">
        <v>214</v>
      </c>
      <c r="B598" t="s">
        <v>46</v>
      </c>
      <c r="C598" t="s">
        <v>13</v>
      </c>
      <c r="D598">
        <v>11</v>
      </c>
      <c r="E598">
        <v>20949</v>
      </c>
      <c r="F598">
        <v>13111</v>
      </c>
      <c r="G598" t="s">
        <v>10</v>
      </c>
      <c r="H598" t="str">
        <f>TEXT(CleanData[[#This Row],[Date]],"mmm")</f>
        <v>Jun</v>
      </c>
      <c r="I598">
        <f>WEEKNUM(CleanData[[#This Row],[Date]])</f>
        <v>25</v>
      </c>
      <c r="J598">
        <f>IF(CleanData[[#This Row],[Revenue]]&gt;=CleanData[[#This Row],[Target]],1,0)</f>
        <v>1</v>
      </c>
      <c r="K598">
        <f>IF(CleanData[[#This Row],[Attendance_Status]]="Present",1,0)</f>
        <v>1</v>
      </c>
    </row>
    <row r="599" spans="1:11" x14ac:dyDescent="0.3">
      <c r="A599" t="s">
        <v>138</v>
      </c>
      <c r="B599" t="s">
        <v>54</v>
      </c>
      <c r="C599" t="s">
        <v>22</v>
      </c>
      <c r="D599">
        <v>10</v>
      </c>
      <c r="E599">
        <v>5886</v>
      </c>
      <c r="F599">
        <v>21289</v>
      </c>
      <c r="G599" t="s">
        <v>26</v>
      </c>
      <c r="H599" t="str">
        <f>TEXT(CleanData[[#This Row],[Date]],"mmm")</f>
        <v>Apr</v>
      </c>
      <c r="I599">
        <f>WEEKNUM(CleanData[[#This Row],[Date]])</f>
        <v>14</v>
      </c>
      <c r="J599">
        <f>IF(CleanData[[#This Row],[Revenue]]&gt;=CleanData[[#This Row],[Target]],1,0)</f>
        <v>0</v>
      </c>
      <c r="K599">
        <f>IF(CleanData[[#This Row],[Attendance_Status]]="Present",1,0)</f>
        <v>0</v>
      </c>
    </row>
    <row r="600" spans="1:11" x14ac:dyDescent="0.3">
      <c r="A600" t="s">
        <v>81</v>
      </c>
      <c r="B600" t="s">
        <v>8</v>
      </c>
      <c r="C600" t="s">
        <v>9</v>
      </c>
      <c r="D600">
        <v>7</v>
      </c>
      <c r="E600">
        <v>22505</v>
      </c>
      <c r="F600">
        <v>21687</v>
      </c>
      <c r="G600" t="s">
        <v>10</v>
      </c>
      <c r="H600" t="str">
        <f>TEXT(CleanData[[#This Row],[Date]],"mmm")</f>
        <v>Feb</v>
      </c>
      <c r="I600">
        <f>WEEKNUM(CleanData[[#This Row],[Date]])</f>
        <v>7</v>
      </c>
      <c r="J600">
        <f>IF(CleanData[[#This Row],[Revenue]]&gt;=CleanData[[#This Row],[Target]],1,0)</f>
        <v>1</v>
      </c>
      <c r="K600">
        <f>IF(CleanData[[#This Row],[Attendance_Status]]="Present",1,0)</f>
        <v>1</v>
      </c>
    </row>
    <row r="601" spans="1:11" x14ac:dyDescent="0.3">
      <c r="A601" t="s">
        <v>147</v>
      </c>
      <c r="B601" t="s">
        <v>92</v>
      </c>
      <c r="C601" t="s">
        <v>13</v>
      </c>
      <c r="D601">
        <v>8</v>
      </c>
      <c r="E601">
        <v>7358</v>
      </c>
      <c r="F601">
        <v>23438</v>
      </c>
      <c r="G601" t="s">
        <v>10</v>
      </c>
      <c r="H601" t="str">
        <f>TEXT(CleanData[[#This Row],[Date]],"mmm")</f>
        <v>Feb</v>
      </c>
      <c r="I601">
        <f>WEEKNUM(CleanData[[#This Row],[Date]])</f>
        <v>7</v>
      </c>
      <c r="J601">
        <f>IF(CleanData[[#This Row],[Revenue]]&gt;=CleanData[[#This Row],[Target]],1,0)</f>
        <v>0</v>
      </c>
      <c r="K601">
        <f>IF(CleanData[[#This Row],[Attendance_Status]]="Present",1,0)</f>
        <v>1</v>
      </c>
    </row>
    <row r="602" spans="1:11" x14ac:dyDescent="0.3">
      <c r="A602" t="s">
        <v>166</v>
      </c>
      <c r="B602" t="s">
        <v>31</v>
      </c>
      <c r="C602" t="s">
        <v>22</v>
      </c>
      <c r="D602">
        <v>24</v>
      </c>
      <c r="E602">
        <v>18223</v>
      </c>
      <c r="F602">
        <v>19255</v>
      </c>
      <c r="G602" t="s">
        <v>10</v>
      </c>
      <c r="H602" t="str">
        <f>TEXT(CleanData[[#This Row],[Date]],"mmm")</f>
        <v>Jan</v>
      </c>
      <c r="I602">
        <f>WEEKNUM(CleanData[[#This Row],[Date]])</f>
        <v>2</v>
      </c>
      <c r="J602">
        <f>IF(CleanData[[#This Row],[Revenue]]&gt;=CleanData[[#This Row],[Target]],1,0)</f>
        <v>0</v>
      </c>
      <c r="K602">
        <f>IF(CleanData[[#This Row],[Attendance_Status]]="Present",1,0)</f>
        <v>1</v>
      </c>
    </row>
    <row r="603" spans="1:11" x14ac:dyDescent="0.3">
      <c r="A603" t="s">
        <v>168</v>
      </c>
      <c r="B603" t="s">
        <v>31</v>
      </c>
      <c r="C603" t="s">
        <v>22</v>
      </c>
      <c r="D603">
        <v>15</v>
      </c>
      <c r="E603">
        <v>28848</v>
      </c>
      <c r="F603">
        <v>23935</v>
      </c>
      <c r="G603" t="s">
        <v>10</v>
      </c>
      <c r="H603" t="str">
        <f>TEXT(CleanData[[#This Row],[Date]],"mmm")</f>
        <v>Mar</v>
      </c>
      <c r="I603">
        <f>WEEKNUM(CleanData[[#This Row],[Date]])</f>
        <v>13</v>
      </c>
      <c r="J603">
        <f>IF(CleanData[[#This Row],[Revenue]]&gt;=CleanData[[#This Row],[Target]],1,0)</f>
        <v>1</v>
      </c>
      <c r="K603">
        <f>IF(CleanData[[#This Row],[Attendance_Status]]="Present",1,0)</f>
        <v>1</v>
      </c>
    </row>
    <row r="604" spans="1:11" x14ac:dyDescent="0.3">
      <c r="A604" t="s">
        <v>45</v>
      </c>
      <c r="B604" t="s">
        <v>40</v>
      </c>
      <c r="C604" t="s">
        <v>22</v>
      </c>
      <c r="D604">
        <v>23</v>
      </c>
      <c r="E604">
        <v>8553</v>
      </c>
      <c r="F604">
        <v>12729</v>
      </c>
      <c r="G604" t="s">
        <v>10</v>
      </c>
      <c r="H604" t="str">
        <f>TEXT(CleanData[[#This Row],[Date]],"mmm")</f>
        <v>Jun</v>
      </c>
      <c r="I604">
        <f>WEEKNUM(CleanData[[#This Row],[Date]])</f>
        <v>25</v>
      </c>
      <c r="J604">
        <f>IF(CleanData[[#This Row],[Revenue]]&gt;=CleanData[[#This Row],[Target]],1,0)</f>
        <v>0</v>
      </c>
      <c r="K604">
        <f>IF(CleanData[[#This Row],[Attendance_Status]]="Present",1,0)</f>
        <v>1</v>
      </c>
    </row>
    <row r="605" spans="1:11" x14ac:dyDescent="0.3">
      <c r="A605" t="s">
        <v>152</v>
      </c>
      <c r="B605" t="s">
        <v>42</v>
      </c>
      <c r="C605" t="s">
        <v>13</v>
      </c>
      <c r="D605">
        <v>24</v>
      </c>
      <c r="E605">
        <v>14575</v>
      </c>
      <c r="F605">
        <v>21851</v>
      </c>
      <c r="G605" t="s">
        <v>10</v>
      </c>
      <c r="H605" t="str">
        <f>TEXT(CleanData[[#This Row],[Date]],"mmm")</f>
        <v>Jan</v>
      </c>
      <c r="I605">
        <f>WEEKNUM(CleanData[[#This Row],[Date]])</f>
        <v>2</v>
      </c>
      <c r="J605">
        <f>IF(CleanData[[#This Row],[Revenue]]&gt;=CleanData[[#This Row],[Target]],1,0)</f>
        <v>0</v>
      </c>
      <c r="K605">
        <f>IF(CleanData[[#This Row],[Attendance_Status]]="Present",1,0)</f>
        <v>1</v>
      </c>
    </row>
    <row r="606" spans="1:11" x14ac:dyDescent="0.3">
      <c r="A606" t="s">
        <v>121</v>
      </c>
      <c r="B606" t="s">
        <v>17</v>
      </c>
      <c r="C606" t="s">
        <v>13</v>
      </c>
      <c r="D606">
        <v>5</v>
      </c>
      <c r="E606">
        <v>16078</v>
      </c>
      <c r="F606">
        <v>12469</v>
      </c>
      <c r="G606" t="s">
        <v>10</v>
      </c>
      <c r="H606" t="str">
        <f>TEXT(CleanData[[#This Row],[Date]],"mmm")</f>
        <v>Apr</v>
      </c>
      <c r="I606">
        <f>WEEKNUM(CleanData[[#This Row],[Date]])</f>
        <v>16</v>
      </c>
      <c r="J606">
        <f>IF(CleanData[[#This Row],[Revenue]]&gt;=CleanData[[#This Row],[Target]],1,0)</f>
        <v>1</v>
      </c>
      <c r="K606">
        <f>IF(CleanData[[#This Row],[Attendance_Status]]="Present",1,0)</f>
        <v>1</v>
      </c>
    </row>
    <row r="607" spans="1:11" x14ac:dyDescent="0.3">
      <c r="A607" t="s">
        <v>153</v>
      </c>
      <c r="B607" t="s">
        <v>19</v>
      </c>
      <c r="C607" t="s">
        <v>9</v>
      </c>
      <c r="D607">
        <v>24</v>
      </c>
      <c r="E607">
        <v>6965</v>
      </c>
      <c r="F607">
        <v>19396</v>
      </c>
      <c r="G607" t="s">
        <v>10</v>
      </c>
      <c r="H607" t="str">
        <f>TEXT(CleanData[[#This Row],[Date]],"mmm")</f>
        <v>Apr</v>
      </c>
      <c r="I607">
        <f>WEEKNUM(CleanData[[#This Row],[Date]])</f>
        <v>15</v>
      </c>
      <c r="J607">
        <f>IF(CleanData[[#This Row],[Revenue]]&gt;=CleanData[[#This Row],[Target]],1,0)</f>
        <v>0</v>
      </c>
      <c r="K607">
        <f>IF(CleanData[[#This Row],[Attendance_Status]]="Present",1,0)</f>
        <v>1</v>
      </c>
    </row>
    <row r="608" spans="1:11" x14ac:dyDescent="0.3">
      <c r="A608" t="s">
        <v>20</v>
      </c>
      <c r="B608" t="s">
        <v>52</v>
      </c>
      <c r="C608" t="s">
        <v>13</v>
      </c>
      <c r="D608">
        <v>24</v>
      </c>
      <c r="E608">
        <v>24223</v>
      </c>
      <c r="F608">
        <v>18601</v>
      </c>
      <c r="G608" t="s">
        <v>26</v>
      </c>
      <c r="H608" t="str">
        <f>TEXT(CleanData[[#This Row],[Date]],"mmm")</f>
        <v>Feb</v>
      </c>
      <c r="I608">
        <f>WEEKNUM(CleanData[[#This Row],[Date]])</f>
        <v>9</v>
      </c>
      <c r="J608">
        <f>IF(CleanData[[#This Row],[Revenue]]&gt;=CleanData[[#This Row],[Target]],1,0)</f>
        <v>1</v>
      </c>
      <c r="K608">
        <f>IF(CleanData[[#This Row],[Attendance_Status]]="Present",1,0)</f>
        <v>0</v>
      </c>
    </row>
    <row r="609" spans="1:11" x14ac:dyDescent="0.3">
      <c r="A609" t="s">
        <v>99</v>
      </c>
      <c r="B609" t="s">
        <v>25</v>
      </c>
      <c r="C609" t="s">
        <v>22</v>
      </c>
      <c r="D609">
        <v>22</v>
      </c>
      <c r="E609">
        <v>17430</v>
      </c>
      <c r="F609">
        <v>20832</v>
      </c>
      <c r="G609" t="s">
        <v>10</v>
      </c>
      <c r="H609" t="str">
        <f>TEXT(CleanData[[#This Row],[Date]],"mmm")</f>
        <v>May</v>
      </c>
      <c r="I609">
        <f>WEEKNUM(CleanData[[#This Row],[Date]])</f>
        <v>22</v>
      </c>
      <c r="J609">
        <f>IF(CleanData[[#This Row],[Revenue]]&gt;=CleanData[[#This Row],[Target]],1,0)</f>
        <v>0</v>
      </c>
      <c r="K609">
        <f>IF(CleanData[[#This Row],[Attendance_Status]]="Present",1,0)</f>
        <v>1</v>
      </c>
    </row>
    <row r="610" spans="1:11" x14ac:dyDescent="0.3">
      <c r="A610" t="s">
        <v>145</v>
      </c>
      <c r="B610" t="s">
        <v>101</v>
      </c>
      <c r="C610" t="s">
        <v>13</v>
      </c>
      <c r="D610">
        <v>19</v>
      </c>
      <c r="E610">
        <v>12150</v>
      </c>
      <c r="F610">
        <v>20030</v>
      </c>
      <c r="G610" t="s">
        <v>26</v>
      </c>
      <c r="H610" t="str">
        <f>TEXT(CleanData[[#This Row],[Date]],"mmm")</f>
        <v>Feb</v>
      </c>
      <c r="I610">
        <f>WEEKNUM(CleanData[[#This Row],[Date]])</f>
        <v>7</v>
      </c>
      <c r="J610">
        <f>IF(CleanData[[#This Row],[Revenue]]&gt;=CleanData[[#This Row],[Target]],1,0)</f>
        <v>0</v>
      </c>
      <c r="K610">
        <f>IF(CleanData[[#This Row],[Attendance_Status]]="Present",1,0)</f>
        <v>0</v>
      </c>
    </row>
    <row r="611" spans="1:11" x14ac:dyDescent="0.3">
      <c r="A611" t="s">
        <v>216</v>
      </c>
      <c r="B611" t="s">
        <v>40</v>
      </c>
      <c r="C611" t="s">
        <v>9</v>
      </c>
      <c r="D611">
        <v>6</v>
      </c>
      <c r="E611">
        <v>6855</v>
      </c>
      <c r="F611">
        <v>15643</v>
      </c>
      <c r="G611" t="s">
        <v>10</v>
      </c>
      <c r="H611" t="str">
        <f>TEXT(CleanData[[#This Row],[Date]],"mmm")</f>
        <v>Feb</v>
      </c>
      <c r="I611">
        <f>WEEKNUM(CleanData[[#This Row],[Date]])</f>
        <v>7</v>
      </c>
      <c r="J611">
        <f>IF(CleanData[[#This Row],[Revenue]]&gt;=CleanData[[#This Row],[Target]],1,0)</f>
        <v>0</v>
      </c>
      <c r="K611">
        <f>IF(CleanData[[#This Row],[Attendance_Status]]="Present",1,0)</f>
        <v>1</v>
      </c>
    </row>
    <row r="612" spans="1:11" x14ac:dyDescent="0.3">
      <c r="A612" t="s">
        <v>103</v>
      </c>
      <c r="B612" t="s">
        <v>73</v>
      </c>
      <c r="C612" t="s">
        <v>22</v>
      </c>
      <c r="D612">
        <v>16</v>
      </c>
      <c r="E612">
        <v>14791</v>
      </c>
      <c r="F612">
        <v>16901</v>
      </c>
      <c r="G612" t="s">
        <v>10</v>
      </c>
      <c r="H612" t="str">
        <f>TEXT(CleanData[[#This Row],[Date]],"mmm")</f>
        <v>May</v>
      </c>
      <c r="I612">
        <f>WEEKNUM(CleanData[[#This Row],[Date]])</f>
        <v>21</v>
      </c>
      <c r="J612">
        <f>IF(CleanData[[#This Row],[Revenue]]&gt;=CleanData[[#This Row],[Target]],1,0)</f>
        <v>0</v>
      </c>
      <c r="K612">
        <f>IF(CleanData[[#This Row],[Attendance_Status]]="Present",1,0)</f>
        <v>1</v>
      </c>
    </row>
    <row r="613" spans="1:11" x14ac:dyDescent="0.3">
      <c r="A613" t="s">
        <v>178</v>
      </c>
      <c r="B613" t="s">
        <v>31</v>
      </c>
      <c r="C613" t="s">
        <v>22</v>
      </c>
      <c r="D613">
        <v>12</v>
      </c>
      <c r="E613">
        <v>8845</v>
      </c>
      <c r="F613">
        <v>19185</v>
      </c>
      <c r="G613" t="s">
        <v>10</v>
      </c>
      <c r="H613" t="str">
        <f>TEXT(CleanData[[#This Row],[Date]],"mmm")</f>
        <v>Feb</v>
      </c>
      <c r="I613">
        <f>WEEKNUM(CleanData[[#This Row],[Date]])</f>
        <v>9</v>
      </c>
      <c r="J613">
        <f>IF(CleanData[[#This Row],[Revenue]]&gt;=CleanData[[#This Row],[Target]],1,0)</f>
        <v>0</v>
      </c>
      <c r="K613">
        <f>IF(CleanData[[#This Row],[Attendance_Status]]="Present",1,0)</f>
        <v>1</v>
      </c>
    </row>
    <row r="614" spans="1:11" x14ac:dyDescent="0.3">
      <c r="A614" t="s">
        <v>20</v>
      </c>
      <c r="B614" t="s">
        <v>21</v>
      </c>
      <c r="C614" t="s">
        <v>22</v>
      </c>
      <c r="D614">
        <v>7</v>
      </c>
      <c r="E614">
        <v>22213</v>
      </c>
      <c r="F614">
        <v>15071</v>
      </c>
      <c r="G614" t="s">
        <v>10</v>
      </c>
      <c r="H614" t="str">
        <f>TEXT(CleanData[[#This Row],[Date]],"mmm")</f>
        <v>Feb</v>
      </c>
      <c r="I614">
        <f>WEEKNUM(CleanData[[#This Row],[Date]])</f>
        <v>9</v>
      </c>
      <c r="J614">
        <f>IF(CleanData[[#This Row],[Revenue]]&gt;=CleanData[[#This Row],[Target]],1,0)</f>
        <v>1</v>
      </c>
      <c r="K614">
        <f>IF(CleanData[[#This Row],[Attendance_Status]]="Present",1,0)</f>
        <v>1</v>
      </c>
    </row>
    <row r="615" spans="1:11" x14ac:dyDescent="0.3">
      <c r="A615" t="s">
        <v>187</v>
      </c>
      <c r="B615" t="s">
        <v>75</v>
      </c>
      <c r="C615" t="s">
        <v>22</v>
      </c>
      <c r="D615">
        <v>19</v>
      </c>
      <c r="E615">
        <v>18230</v>
      </c>
      <c r="F615">
        <v>18993</v>
      </c>
      <c r="G615" t="s">
        <v>10</v>
      </c>
      <c r="H615" t="str">
        <f>TEXT(CleanData[[#This Row],[Date]],"mmm")</f>
        <v>Mar</v>
      </c>
      <c r="I615">
        <f>WEEKNUM(CleanData[[#This Row],[Date]])</f>
        <v>11</v>
      </c>
      <c r="J615">
        <f>IF(CleanData[[#This Row],[Revenue]]&gt;=CleanData[[#This Row],[Target]],1,0)</f>
        <v>0</v>
      </c>
      <c r="K615">
        <f>IF(CleanData[[#This Row],[Attendance_Status]]="Present",1,0)</f>
        <v>1</v>
      </c>
    </row>
    <row r="616" spans="1:11" x14ac:dyDescent="0.3">
      <c r="A616" t="s">
        <v>157</v>
      </c>
      <c r="B616" t="s">
        <v>120</v>
      </c>
      <c r="C616" t="s">
        <v>13</v>
      </c>
      <c r="D616">
        <v>20</v>
      </c>
      <c r="E616">
        <v>6534</v>
      </c>
      <c r="F616">
        <v>20107</v>
      </c>
      <c r="G616" t="s">
        <v>10</v>
      </c>
      <c r="H616" t="str">
        <f>TEXT(CleanData[[#This Row],[Date]],"mmm")</f>
        <v>Jan</v>
      </c>
      <c r="I616">
        <f>WEEKNUM(CleanData[[#This Row],[Date]])</f>
        <v>3</v>
      </c>
      <c r="J616">
        <f>IF(CleanData[[#This Row],[Revenue]]&gt;=CleanData[[#This Row],[Target]],1,0)</f>
        <v>0</v>
      </c>
      <c r="K616">
        <f>IF(CleanData[[#This Row],[Attendance_Status]]="Present",1,0)</f>
        <v>1</v>
      </c>
    </row>
    <row r="617" spans="1:11" x14ac:dyDescent="0.3">
      <c r="A617" t="s">
        <v>57</v>
      </c>
      <c r="B617" t="s">
        <v>46</v>
      </c>
      <c r="C617" t="s">
        <v>9</v>
      </c>
      <c r="D617">
        <v>24</v>
      </c>
      <c r="E617">
        <v>5168</v>
      </c>
      <c r="F617">
        <v>21213</v>
      </c>
      <c r="G617" t="s">
        <v>10</v>
      </c>
      <c r="H617" t="str">
        <f>TEXT(CleanData[[#This Row],[Date]],"mmm")</f>
        <v>Jun</v>
      </c>
      <c r="I617">
        <f>WEEKNUM(CleanData[[#This Row],[Date]])</f>
        <v>25</v>
      </c>
      <c r="J617">
        <f>IF(CleanData[[#This Row],[Revenue]]&gt;=CleanData[[#This Row],[Target]],1,0)</f>
        <v>0</v>
      </c>
      <c r="K617">
        <f>IF(CleanData[[#This Row],[Attendance_Status]]="Present",1,0)</f>
        <v>1</v>
      </c>
    </row>
    <row r="618" spans="1:11" x14ac:dyDescent="0.3">
      <c r="A618" t="s">
        <v>136</v>
      </c>
      <c r="B618" t="s">
        <v>75</v>
      </c>
      <c r="C618" t="s">
        <v>9</v>
      </c>
      <c r="D618">
        <v>9</v>
      </c>
      <c r="E618">
        <v>18710</v>
      </c>
      <c r="F618">
        <v>24157</v>
      </c>
      <c r="G618" t="s">
        <v>10</v>
      </c>
      <c r="H618" t="str">
        <f>TEXT(CleanData[[#This Row],[Date]],"mmm")</f>
        <v>Mar</v>
      </c>
      <c r="I618">
        <f>WEEKNUM(CleanData[[#This Row],[Date]])</f>
        <v>11</v>
      </c>
      <c r="J618">
        <f>IF(CleanData[[#This Row],[Revenue]]&gt;=CleanData[[#This Row],[Target]],1,0)</f>
        <v>0</v>
      </c>
      <c r="K618">
        <f>IF(CleanData[[#This Row],[Attendance_Status]]="Present",1,0)</f>
        <v>1</v>
      </c>
    </row>
    <row r="619" spans="1:11" x14ac:dyDescent="0.3">
      <c r="A619" t="s">
        <v>126</v>
      </c>
      <c r="B619" t="s">
        <v>54</v>
      </c>
      <c r="C619" t="s">
        <v>13</v>
      </c>
      <c r="D619">
        <v>9</v>
      </c>
      <c r="E619">
        <v>29571</v>
      </c>
      <c r="F619">
        <v>22867</v>
      </c>
      <c r="G619" t="s">
        <v>10</v>
      </c>
      <c r="H619" t="str">
        <f>TEXT(CleanData[[#This Row],[Date]],"mmm")</f>
        <v>Jun</v>
      </c>
      <c r="I619">
        <f>WEEKNUM(CleanData[[#This Row],[Date]])</f>
        <v>25</v>
      </c>
      <c r="J619">
        <f>IF(CleanData[[#This Row],[Revenue]]&gt;=CleanData[[#This Row],[Target]],1,0)</f>
        <v>1</v>
      </c>
      <c r="K619">
        <f>IF(CleanData[[#This Row],[Attendance_Status]]="Present",1,0)</f>
        <v>1</v>
      </c>
    </row>
    <row r="620" spans="1:11" x14ac:dyDescent="0.3">
      <c r="A620" t="s">
        <v>125</v>
      </c>
      <c r="B620" t="s">
        <v>15</v>
      </c>
      <c r="C620" t="s">
        <v>13</v>
      </c>
      <c r="D620">
        <v>11</v>
      </c>
      <c r="E620">
        <v>10237</v>
      </c>
      <c r="F620">
        <v>16488</v>
      </c>
      <c r="G620" t="s">
        <v>10</v>
      </c>
      <c r="H620" t="str">
        <f>TEXT(CleanData[[#This Row],[Date]],"mmm")</f>
        <v>Jun</v>
      </c>
      <c r="I620">
        <f>WEEKNUM(CleanData[[#This Row],[Date]])</f>
        <v>26</v>
      </c>
      <c r="J620">
        <f>IF(CleanData[[#This Row],[Revenue]]&gt;=CleanData[[#This Row],[Target]],1,0)</f>
        <v>0</v>
      </c>
      <c r="K620">
        <f>IF(CleanData[[#This Row],[Attendance_Status]]="Present",1,0)</f>
        <v>1</v>
      </c>
    </row>
    <row r="621" spans="1:11" x14ac:dyDescent="0.3">
      <c r="A621" t="s">
        <v>76</v>
      </c>
      <c r="B621" t="s">
        <v>69</v>
      </c>
      <c r="C621" t="s">
        <v>22</v>
      </c>
      <c r="D621">
        <v>24</v>
      </c>
      <c r="E621">
        <v>16840</v>
      </c>
      <c r="F621">
        <v>22993</v>
      </c>
      <c r="G621" t="s">
        <v>10</v>
      </c>
      <c r="H621" t="str">
        <f>TEXT(CleanData[[#This Row],[Date]],"mmm")</f>
        <v>Feb</v>
      </c>
      <c r="I621">
        <f>WEEKNUM(CleanData[[#This Row],[Date]])</f>
        <v>9</v>
      </c>
      <c r="J621">
        <f>IF(CleanData[[#This Row],[Revenue]]&gt;=CleanData[[#This Row],[Target]],1,0)</f>
        <v>0</v>
      </c>
      <c r="K621">
        <f>IF(CleanData[[#This Row],[Attendance_Status]]="Present",1,0)</f>
        <v>1</v>
      </c>
    </row>
    <row r="622" spans="1:11" x14ac:dyDescent="0.3">
      <c r="A622" t="s">
        <v>53</v>
      </c>
      <c r="B622" t="s">
        <v>31</v>
      </c>
      <c r="C622" t="s">
        <v>9</v>
      </c>
      <c r="D622">
        <v>19</v>
      </c>
      <c r="E622">
        <v>26191</v>
      </c>
      <c r="F622">
        <v>16686</v>
      </c>
      <c r="G622" t="s">
        <v>10</v>
      </c>
      <c r="H622" t="str">
        <f>TEXT(CleanData[[#This Row],[Date]],"mmm")</f>
        <v>Jan</v>
      </c>
      <c r="I622">
        <f>WEEKNUM(CleanData[[#This Row],[Date]])</f>
        <v>1</v>
      </c>
      <c r="J622">
        <f>IF(CleanData[[#This Row],[Revenue]]&gt;=CleanData[[#This Row],[Target]],1,0)</f>
        <v>1</v>
      </c>
      <c r="K622">
        <f>IF(CleanData[[#This Row],[Attendance_Status]]="Present",1,0)</f>
        <v>1</v>
      </c>
    </row>
    <row r="623" spans="1:11" x14ac:dyDescent="0.3">
      <c r="A623" t="s">
        <v>150</v>
      </c>
      <c r="B623" t="s">
        <v>19</v>
      </c>
      <c r="C623" t="s">
        <v>13</v>
      </c>
      <c r="D623">
        <v>14</v>
      </c>
      <c r="E623">
        <v>17912</v>
      </c>
      <c r="F623">
        <v>14800</v>
      </c>
      <c r="G623" t="s">
        <v>10</v>
      </c>
      <c r="H623" t="str">
        <f>TEXT(CleanData[[#This Row],[Date]],"mmm")</f>
        <v>Feb</v>
      </c>
      <c r="I623">
        <f>WEEKNUM(CleanData[[#This Row],[Date]])</f>
        <v>6</v>
      </c>
      <c r="J623">
        <f>IF(CleanData[[#This Row],[Revenue]]&gt;=CleanData[[#This Row],[Target]],1,0)</f>
        <v>1</v>
      </c>
      <c r="K623">
        <f>IF(CleanData[[#This Row],[Attendance_Status]]="Present",1,0)</f>
        <v>1</v>
      </c>
    </row>
    <row r="624" spans="1:11" x14ac:dyDescent="0.3">
      <c r="A624" t="s">
        <v>86</v>
      </c>
      <c r="B624" t="s">
        <v>25</v>
      </c>
      <c r="C624" t="s">
        <v>9</v>
      </c>
      <c r="D624">
        <v>14</v>
      </c>
      <c r="E624">
        <v>22234</v>
      </c>
      <c r="F624">
        <v>19812</v>
      </c>
      <c r="G624" t="s">
        <v>26</v>
      </c>
      <c r="H624" t="str">
        <f>TEXT(CleanData[[#This Row],[Date]],"mmm")</f>
        <v>Apr</v>
      </c>
      <c r="I624">
        <f>WEEKNUM(CleanData[[#This Row],[Date]])</f>
        <v>16</v>
      </c>
      <c r="J624">
        <f>IF(CleanData[[#This Row],[Revenue]]&gt;=CleanData[[#This Row],[Target]],1,0)</f>
        <v>1</v>
      </c>
      <c r="K624">
        <f>IF(CleanData[[#This Row],[Attendance_Status]]="Present",1,0)</f>
        <v>0</v>
      </c>
    </row>
    <row r="625" spans="1:11" x14ac:dyDescent="0.3">
      <c r="A625" t="s">
        <v>20</v>
      </c>
      <c r="B625" t="s">
        <v>75</v>
      </c>
      <c r="C625" t="s">
        <v>13</v>
      </c>
      <c r="D625">
        <v>16</v>
      </c>
      <c r="E625">
        <v>14848</v>
      </c>
      <c r="F625">
        <v>16582</v>
      </c>
      <c r="G625" t="s">
        <v>10</v>
      </c>
      <c r="H625" t="str">
        <f>TEXT(CleanData[[#This Row],[Date]],"mmm")</f>
        <v>Feb</v>
      </c>
      <c r="I625">
        <f>WEEKNUM(CleanData[[#This Row],[Date]])</f>
        <v>9</v>
      </c>
      <c r="J625">
        <f>IF(CleanData[[#This Row],[Revenue]]&gt;=CleanData[[#This Row],[Target]],1,0)</f>
        <v>0</v>
      </c>
      <c r="K625">
        <f>IF(CleanData[[#This Row],[Attendance_Status]]="Present",1,0)</f>
        <v>1</v>
      </c>
    </row>
    <row r="626" spans="1:11" x14ac:dyDescent="0.3">
      <c r="A626" t="s">
        <v>190</v>
      </c>
      <c r="B626" t="s">
        <v>50</v>
      </c>
      <c r="C626" t="s">
        <v>22</v>
      </c>
      <c r="D626">
        <v>14</v>
      </c>
      <c r="E626">
        <v>13398</v>
      </c>
      <c r="F626">
        <v>10377</v>
      </c>
      <c r="G626" t="s">
        <v>10</v>
      </c>
      <c r="H626" t="str">
        <f>TEXT(CleanData[[#This Row],[Date]],"mmm")</f>
        <v>Feb</v>
      </c>
      <c r="I626">
        <f>WEEKNUM(CleanData[[#This Row],[Date]])</f>
        <v>6</v>
      </c>
      <c r="J626">
        <f>IF(CleanData[[#This Row],[Revenue]]&gt;=CleanData[[#This Row],[Target]],1,0)</f>
        <v>1</v>
      </c>
      <c r="K626">
        <f>IF(CleanData[[#This Row],[Attendance_Status]]="Present",1,0)</f>
        <v>1</v>
      </c>
    </row>
    <row r="627" spans="1:11" x14ac:dyDescent="0.3">
      <c r="A627" t="s">
        <v>158</v>
      </c>
      <c r="B627" t="s">
        <v>75</v>
      </c>
      <c r="C627" t="s">
        <v>22</v>
      </c>
      <c r="D627">
        <v>5</v>
      </c>
      <c r="E627">
        <v>20968</v>
      </c>
      <c r="F627">
        <v>15715</v>
      </c>
      <c r="G627" t="s">
        <v>10</v>
      </c>
      <c r="H627" t="str">
        <f>TEXT(CleanData[[#This Row],[Date]],"mmm")</f>
        <v>Jun</v>
      </c>
      <c r="I627">
        <f>WEEKNUM(CleanData[[#This Row],[Date]])</f>
        <v>24</v>
      </c>
      <c r="J627">
        <f>IF(CleanData[[#This Row],[Revenue]]&gt;=CleanData[[#This Row],[Target]],1,0)</f>
        <v>1</v>
      </c>
      <c r="K627">
        <f>IF(CleanData[[#This Row],[Attendance_Status]]="Present",1,0)</f>
        <v>1</v>
      </c>
    </row>
    <row r="628" spans="1:11" x14ac:dyDescent="0.3">
      <c r="A628" t="s">
        <v>111</v>
      </c>
      <c r="B628" t="s">
        <v>42</v>
      </c>
      <c r="C628" t="s">
        <v>22</v>
      </c>
      <c r="D628">
        <v>17</v>
      </c>
      <c r="E628">
        <v>20619</v>
      </c>
      <c r="F628">
        <v>23821</v>
      </c>
      <c r="G628" t="s">
        <v>26</v>
      </c>
      <c r="H628" t="str">
        <f>TEXT(CleanData[[#This Row],[Date]],"mmm")</f>
        <v>Mar</v>
      </c>
      <c r="I628">
        <f>WEEKNUM(CleanData[[#This Row],[Date]])</f>
        <v>11</v>
      </c>
      <c r="J628">
        <f>IF(CleanData[[#This Row],[Revenue]]&gt;=CleanData[[#This Row],[Target]],1,0)</f>
        <v>0</v>
      </c>
      <c r="K628">
        <f>IF(CleanData[[#This Row],[Attendance_Status]]="Present",1,0)</f>
        <v>0</v>
      </c>
    </row>
    <row r="629" spans="1:11" x14ac:dyDescent="0.3">
      <c r="A629" t="s">
        <v>85</v>
      </c>
      <c r="B629" t="s">
        <v>46</v>
      </c>
      <c r="C629" t="s">
        <v>22</v>
      </c>
      <c r="D629">
        <v>18</v>
      </c>
      <c r="E629">
        <v>29007</v>
      </c>
      <c r="F629">
        <v>10923</v>
      </c>
      <c r="G629" t="s">
        <v>10</v>
      </c>
      <c r="H629" t="str">
        <f>TEXT(CleanData[[#This Row],[Date]],"mmm")</f>
        <v>Apr</v>
      </c>
      <c r="I629">
        <f>WEEKNUM(CleanData[[#This Row],[Date]])</f>
        <v>18</v>
      </c>
      <c r="J629">
        <f>IF(CleanData[[#This Row],[Revenue]]&gt;=CleanData[[#This Row],[Target]],1,0)</f>
        <v>1</v>
      </c>
      <c r="K629">
        <f>IF(CleanData[[#This Row],[Attendance_Status]]="Present",1,0)</f>
        <v>1</v>
      </c>
    </row>
    <row r="630" spans="1:11" x14ac:dyDescent="0.3">
      <c r="A630" t="s">
        <v>170</v>
      </c>
      <c r="B630" t="s">
        <v>25</v>
      </c>
      <c r="C630" t="s">
        <v>22</v>
      </c>
      <c r="D630">
        <v>20</v>
      </c>
      <c r="E630">
        <v>14997</v>
      </c>
      <c r="F630">
        <v>24892</v>
      </c>
      <c r="G630" t="s">
        <v>26</v>
      </c>
      <c r="H630" t="str">
        <f>TEXT(CleanData[[#This Row],[Date]],"mmm")</f>
        <v>Apr</v>
      </c>
      <c r="I630">
        <f>WEEKNUM(CleanData[[#This Row],[Date]])</f>
        <v>16</v>
      </c>
      <c r="J630">
        <f>IF(CleanData[[#This Row],[Revenue]]&gt;=CleanData[[#This Row],[Target]],1,0)</f>
        <v>0</v>
      </c>
      <c r="K630">
        <f>IF(CleanData[[#This Row],[Attendance_Status]]="Present",1,0)</f>
        <v>0</v>
      </c>
    </row>
    <row r="631" spans="1:11" x14ac:dyDescent="0.3">
      <c r="A631" t="s">
        <v>60</v>
      </c>
      <c r="B631" t="s">
        <v>17</v>
      </c>
      <c r="C631" t="s">
        <v>22</v>
      </c>
      <c r="D631">
        <v>13</v>
      </c>
      <c r="E631">
        <v>23167</v>
      </c>
      <c r="F631">
        <v>21351</v>
      </c>
      <c r="G631" t="s">
        <v>10</v>
      </c>
      <c r="H631" t="str">
        <f>TEXT(CleanData[[#This Row],[Date]],"mmm")</f>
        <v>May</v>
      </c>
      <c r="I631">
        <f>WEEKNUM(CleanData[[#This Row],[Date]])</f>
        <v>18</v>
      </c>
      <c r="J631">
        <f>IF(CleanData[[#This Row],[Revenue]]&gt;=CleanData[[#This Row],[Target]],1,0)</f>
        <v>1</v>
      </c>
      <c r="K631">
        <f>IF(CleanData[[#This Row],[Attendance_Status]]="Present",1,0)</f>
        <v>1</v>
      </c>
    </row>
    <row r="632" spans="1:11" x14ac:dyDescent="0.3">
      <c r="A632" t="s">
        <v>28</v>
      </c>
      <c r="B632" t="s">
        <v>56</v>
      </c>
      <c r="C632" t="s">
        <v>22</v>
      </c>
      <c r="D632">
        <v>7</v>
      </c>
      <c r="E632">
        <v>22611</v>
      </c>
      <c r="F632">
        <v>16745</v>
      </c>
      <c r="G632" t="s">
        <v>10</v>
      </c>
      <c r="H632" t="str">
        <f>TEXT(CleanData[[#This Row],[Date]],"mmm")</f>
        <v>Mar</v>
      </c>
      <c r="I632">
        <f>WEEKNUM(CleanData[[#This Row],[Date]])</f>
        <v>12</v>
      </c>
      <c r="J632">
        <f>IF(CleanData[[#This Row],[Revenue]]&gt;=CleanData[[#This Row],[Target]],1,0)</f>
        <v>1</v>
      </c>
      <c r="K632">
        <f>IF(CleanData[[#This Row],[Attendance_Status]]="Present",1,0)</f>
        <v>1</v>
      </c>
    </row>
    <row r="633" spans="1:11" x14ac:dyDescent="0.3">
      <c r="A633" t="s">
        <v>179</v>
      </c>
      <c r="B633" t="s">
        <v>52</v>
      </c>
      <c r="C633" t="s">
        <v>13</v>
      </c>
      <c r="D633">
        <v>10</v>
      </c>
      <c r="E633">
        <v>27804</v>
      </c>
      <c r="F633">
        <v>10852</v>
      </c>
      <c r="G633" t="s">
        <v>10</v>
      </c>
      <c r="H633" t="str">
        <f>TEXT(CleanData[[#This Row],[Date]],"mmm")</f>
        <v>Mar</v>
      </c>
      <c r="I633">
        <f>WEEKNUM(CleanData[[#This Row],[Date]])</f>
        <v>12</v>
      </c>
      <c r="J633">
        <f>IF(CleanData[[#This Row],[Revenue]]&gt;=CleanData[[#This Row],[Target]],1,0)</f>
        <v>1</v>
      </c>
      <c r="K633">
        <f>IF(CleanData[[#This Row],[Attendance_Status]]="Present",1,0)</f>
        <v>1</v>
      </c>
    </row>
    <row r="634" spans="1:11" x14ac:dyDescent="0.3">
      <c r="A634" t="s">
        <v>148</v>
      </c>
      <c r="B634" t="s">
        <v>31</v>
      </c>
      <c r="C634" t="s">
        <v>9</v>
      </c>
      <c r="D634">
        <v>20</v>
      </c>
      <c r="E634">
        <v>9919</v>
      </c>
      <c r="F634">
        <v>11119</v>
      </c>
      <c r="G634" t="s">
        <v>10</v>
      </c>
      <c r="H634" t="str">
        <f>TEXT(CleanData[[#This Row],[Date]],"mmm")</f>
        <v>Jun</v>
      </c>
      <c r="I634">
        <f>WEEKNUM(CleanData[[#This Row],[Date]])</f>
        <v>23</v>
      </c>
      <c r="J634">
        <f>IF(CleanData[[#This Row],[Revenue]]&gt;=CleanData[[#This Row],[Target]],1,0)</f>
        <v>0</v>
      </c>
      <c r="K634">
        <f>IF(CleanData[[#This Row],[Attendance_Status]]="Present",1,0)</f>
        <v>1</v>
      </c>
    </row>
    <row r="635" spans="1:11" x14ac:dyDescent="0.3">
      <c r="A635" t="s">
        <v>43</v>
      </c>
      <c r="B635" t="s">
        <v>120</v>
      </c>
      <c r="C635" t="s">
        <v>22</v>
      </c>
      <c r="D635">
        <v>19</v>
      </c>
      <c r="E635">
        <v>5192</v>
      </c>
      <c r="F635">
        <v>20008</v>
      </c>
      <c r="G635" t="s">
        <v>10</v>
      </c>
      <c r="H635" t="str">
        <f>TEXT(CleanData[[#This Row],[Date]],"mmm")</f>
        <v>Feb</v>
      </c>
      <c r="I635">
        <f>WEEKNUM(CleanData[[#This Row],[Date]])</f>
        <v>8</v>
      </c>
      <c r="J635">
        <f>IF(CleanData[[#This Row],[Revenue]]&gt;=CleanData[[#This Row],[Target]],1,0)</f>
        <v>0</v>
      </c>
      <c r="K635">
        <f>IF(CleanData[[#This Row],[Attendance_Status]]="Present",1,0)</f>
        <v>1</v>
      </c>
    </row>
    <row r="636" spans="1:11" x14ac:dyDescent="0.3">
      <c r="A636" t="s">
        <v>94</v>
      </c>
      <c r="B636" t="s">
        <v>92</v>
      </c>
      <c r="C636" t="s">
        <v>22</v>
      </c>
      <c r="D636">
        <v>5</v>
      </c>
      <c r="E636">
        <v>10440</v>
      </c>
      <c r="F636">
        <v>18416</v>
      </c>
      <c r="G636" t="s">
        <v>10</v>
      </c>
      <c r="H636" t="str">
        <f>TEXT(CleanData[[#This Row],[Date]],"mmm")</f>
        <v>Feb</v>
      </c>
      <c r="I636">
        <f>WEEKNUM(CleanData[[#This Row],[Date]])</f>
        <v>5</v>
      </c>
      <c r="J636">
        <f>IF(CleanData[[#This Row],[Revenue]]&gt;=CleanData[[#This Row],[Target]],1,0)</f>
        <v>0</v>
      </c>
      <c r="K636">
        <f>IF(CleanData[[#This Row],[Attendance_Status]]="Present",1,0)</f>
        <v>1</v>
      </c>
    </row>
    <row r="637" spans="1:11" x14ac:dyDescent="0.3">
      <c r="A637" t="s">
        <v>216</v>
      </c>
      <c r="B637" t="s">
        <v>17</v>
      </c>
      <c r="C637" t="s">
        <v>13</v>
      </c>
      <c r="D637">
        <v>7</v>
      </c>
      <c r="E637">
        <v>10863</v>
      </c>
      <c r="F637">
        <v>14155</v>
      </c>
      <c r="G637" t="s">
        <v>10</v>
      </c>
      <c r="H637" t="str">
        <f>TEXT(CleanData[[#This Row],[Date]],"mmm")</f>
        <v>Feb</v>
      </c>
      <c r="I637">
        <f>WEEKNUM(CleanData[[#This Row],[Date]])</f>
        <v>7</v>
      </c>
      <c r="J637">
        <f>IF(CleanData[[#This Row],[Revenue]]&gt;=CleanData[[#This Row],[Target]],1,0)</f>
        <v>0</v>
      </c>
      <c r="K637">
        <f>IF(CleanData[[#This Row],[Attendance_Status]]="Present",1,0)</f>
        <v>1</v>
      </c>
    </row>
    <row r="638" spans="1:11" x14ac:dyDescent="0.3">
      <c r="A638" t="s">
        <v>14</v>
      </c>
      <c r="B638" t="s">
        <v>19</v>
      </c>
      <c r="C638" t="s">
        <v>13</v>
      </c>
      <c r="D638">
        <v>13</v>
      </c>
      <c r="E638">
        <v>26866</v>
      </c>
      <c r="F638">
        <v>18005</v>
      </c>
      <c r="G638" t="s">
        <v>10</v>
      </c>
      <c r="H638" t="str">
        <f>TEXT(CleanData[[#This Row],[Date]],"mmm")</f>
        <v>Jun</v>
      </c>
      <c r="I638">
        <f>WEEKNUM(CleanData[[#This Row],[Date]])</f>
        <v>24</v>
      </c>
      <c r="J638">
        <f>IF(CleanData[[#This Row],[Revenue]]&gt;=CleanData[[#This Row],[Target]],1,0)</f>
        <v>1</v>
      </c>
      <c r="K638">
        <f>IF(CleanData[[#This Row],[Attendance_Status]]="Present",1,0)</f>
        <v>1</v>
      </c>
    </row>
    <row r="639" spans="1:11" x14ac:dyDescent="0.3">
      <c r="A639" t="s">
        <v>211</v>
      </c>
      <c r="B639" t="s">
        <v>52</v>
      </c>
      <c r="C639" t="s">
        <v>22</v>
      </c>
      <c r="D639">
        <v>14</v>
      </c>
      <c r="E639">
        <v>19311</v>
      </c>
      <c r="F639">
        <v>23519</v>
      </c>
      <c r="G639" t="s">
        <v>10</v>
      </c>
      <c r="H639" t="str">
        <f>TEXT(CleanData[[#This Row],[Date]],"mmm")</f>
        <v>Apr</v>
      </c>
      <c r="I639">
        <f>WEEKNUM(CleanData[[#This Row],[Date]])</f>
        <v>14</v>
      </c>
      <c r="J639">
        <f>IF(CleanData[[#This Row],[Revenue]]&gt;=CleanData[[#This Row],[Target]],1,0)</f>
        <v>0</v>
      </c>
      <c r="K639">
        <f>IF(CleanData[[#This Row],[Attendance_Status]]="Present",1,0)</f>
        <v>1</v>
      </c>
    </row>
    <row r="640" spans="1:11" x14ac:dyDescent="0.3">
      <c r="A640" t="s">
        <v>214</v>
      </c>
      <c r="B640" t="s">
        <v>21</v>
      </c>
      <c r="C640" t="s">
        <v>9</v>
      </c>
      <c r="D640">
        <v>6</v>
      </c>
      <c r="E640">
        <v>8826</v>
      </c>
      <c r="F640">
        <v>12112</v>
      </c>
      <c r="G640" t="s">
        <v>10</v>
      </c>
      <c r="H640" t="str">
        <f>TEXT(CleanData[[#This Row],[Date]],"mmm")</f>
        <v>Jun</v>
      </c>
      <c r="I640">
        <f>WEEKNUM(CleanData[[#This Row],[Date]])</f>
        <v>25</v>
      </c>
      <c r="J640">
        <f>IF(CleanData[[#This Row],[Revenue]]&gt;=CleanData[[#This Row],[Target]],1,0)</f>
        <v>0</v>
      </c>
      <c r="K640">
        <f>IF(CleanData[[#This Row],[Attendance_Status]]="Present",1,0)</f>
        <v>1</v>
      </c>
    </row>
    <row r="641" spans="1:11" x14ac:dyDescent="0.3">
      <c r="A641" t="s">
        <v>121</v>
      </c>
      <c r="B641" t="s">
        <v>101</v>
      </c>
      <c r="C641" t="s">
        <v>9</v>
      </c>
      <c r="D641">
        <v>9</v>
      </c>
      <c r="E641">
        <v>17964</v>
      </c>
      <c r="F641">
        <v>15447</v>
      </c>
      <c r="G641" t="s">
        <v>10</v>
      </c>
      <c r="H641" t="str">
        <f>TEXT(CleanData[[#This Row],[Date]],"mmm")</f>
        <v>Apr</v>
      </c>
      <c r="I641">
        <f>WEEKNUM(CleanData[[#This Row],[Date]])</f>
        <v>16</v>
      </c>
      <c r="J641">
        <f>IF(CleanData[[#This Row],[Revenue]]&gt;=CleanData[[#This Row],[Target]],1,0)</f>
        <v>1</v>
      </c>
      <c r="K641">
        <f>IF(CleanData[[#This Row],[Attendance_Status]]="Present",1,0)</f>
        <v>1</v>
      </c>
    </row>
    <row r="642" spans="1:11" x14ac:dyDescent="0.3">
      <c r="A642" t="s">
        <v>156</v>
      </c>
      <c r="B642" t="s">
        <v>31</v>
      </c>
      <c r="C642" t="s">
        <v>13</v>
      </c>
      <c r="D642">
        <v>16</v>
      </c>
      <c r="E642">
        <v>25240</v>
      </c>
      <c r="F642">
        <v>12436</v>
      </c>
      <c r="G642" t="s">
        <v>10</v>
      </c>
      <c r="H642" t="str">
        <f>TEXT(CleanData[[#This Row],[Date]],"mmm")</f>
        <v>Jan</v>
      </c>
      <c r="I642">
        <f>WEEKNUM(CleanData[[#This Row],[Date]])</f>
        <v>1</v>
      </c>
      <c r="J642">
        <f>IF(CleanData[[#This Row],[Revenue]]&gt;=CleanData[[#This Row],[Target]],1,0)</f>
        <v>1</v>
      </c>
      <c r="K642">
        <f>IF(CleanData[[#This Row],[Attendance_Status]]="Present",1,0)</f>
        <v>1</v>
      </c>
    </row>
    <row r="643" spans="1:11" x14ac:dyDescent="0.3">
      <c r="A643" t="s">
        <v>129</v>
      </c>
      <c r="B643" t="s">
        <v>17</v>
      </c>
      <c r="C643" t="s">
        <v>22</v>
      </c>
      <c r="D643">
        <v>23</v>
      </c>
      <c r="E643">
        <v>5888</v>
      </c>
      <c r="F643">
        <v>21003</v>
      </c>
      <c r="G643" t="s">
        <v>10</v>
      </c>
      <c r="H643" t="str">
        <f>TEXT(CleanData[[#This Row],[Date]],"mmm")</f>
        <v>Apr</v>
      </c>
      <c r="I643">
        <f>WEEKNUM(CleanData[[#This Row],[Date]])</f>
        <v>17</v>
      </c>
      <c r="J643">
        <f>IF(CleanData[[#This Row],[Revenue]]&gt;=CleanData[[#This Row],[Target]],1,0)</f>
        <v>0</v>
      </c>
      <c r="K643">
        <f>IF(CleanData[[#This Row],[Attendance_Status]]="Present",1,0)</f>
        <v>1</v>
      </c>
    </row>
    <row r="644" spans="1:11" x14ac:dyDescent="0.3">
      <c r="A644" t="s">
        <v>206</v>
      </c>
      <c r="B644" t="s">
        <v>67</v>
      </c>
      <c r="C644" t="s">
        <v>22</v>
      </c>
      <c r="D644">
        <v>7</v>
      </c>
      <c r="E644">
        <v>14959</v>
      </c>
      <c r="F644">
        <v>16697</v>
      </c>
      <c r="G644" t="s">
        <v>10</v>
      </c>
      <c r="H644" t="str">
        <f>TEXT(CleanData[[#This Row],[Date]],"mmm")</f>
        <v>Jun</v>
      </c>
      <c r="I644">
        <f>WEEKNUM(CleanData[[#This Row],[Date]])</f>
        <v>25</v>
      </c>
      <c r="J644">
        <f>IF(CleanData[[#This Row],[Revenue]]&gt;=CleanData[[#This Row],[Target]],1,0)</f>
        <v>0</v>
      </c>
      <c r="K644">
        <f>IF(CleanData[[#This Row],[Attendance_Status]]="Present",1,0)</f>
        <v>1</v>
      </c>
    </row>
    <row r="645" spans="1:11" x14ac:dyDescent="0.3">
      <c r="A645" t="s">
        <v>82</v>
      </c>
      <c r="B645" t="s">
        <v>31</v>
      </c>
      <c r="C645" t="s">
        <v>13</v>
      </c>
      <c r="D645">
        <v>13</v>
      </c>
      <c r="E645">
        <v>5060</v>
      </c>
      <c r="F645">
        <v>15000</v>
      </c>
      <c r="G645" t="s">
        <v>10</v>
      </c>
      <c r="H645" t="str">
        <f>TEXT(CleanData[[#This Row],[Date]],"mmm")</f>
        <v>Jan</v>
      </c>
      <c r="I645">
        <f>WEEKNUM(CleanData[[#This Row],[Date]])</f>
        <v>2</v>
      </c>
      <c r="J645">
        <f>IF(CleanData[[#This Row],[Revenue]]&gt;=CleanData[[#This Row],[Target]],1,0)</f>
        <v>0</v>
      </c>
      <c r="K645">
        <f>IF(CleanData[[#This Row],[Attendance_Status]]="Present",1,0)</f>
        <v>1</v>
      </c>
    </row>
    <row r="646" spans="1:11" x14ac:dyDescent="0.3">
      <c r="A646" t="s">
        <v>63</v>
      </c>
      <c r="B646" t="s">
        <v>75</v>
      </c>
      <c r="C646" t="s">
        <v>13</v>
      </c>
      <c r="D646">
        <v>8</v>
      </c>
      <c r="E646">
        <v>5447</v>
      </c>
      <c r="F646">
        <v>14265</v>
      </c>
      <c r="G646" t="s">
        <v>10</v>
      </c>
      <c r="H646" t="str">
        <f>TEXT(CleanData[[#This Row],[Date]],"mmm")</f>
        <v>Jun</v>
      </c>
      <c r="I646">
        <f>WEEKNUM(CleanData[[#This Row],[Date]])</f>
        <v>24</v>
      </c>
      <c r="J646">
        <f>IF(CleanData[[#This Row],[Revenue]]&gt;=CleanData[[#This Row],[Target]],1,0)</f>
        <v>0</v>
      </c>
      <c r="K646">
        <f>IF(CleanData[[#This Row],[Attendance_Status]]="Present",1,0)</f>
        <v>1</v>
      </c>
    </row>
    <row r="647" spans="1:11" x14ac:dyDescent="0.3">
      <c r="A647" t="s">
        <v>32</v>
      </c>
      <c r="B647" t="s">
        <v>64</v>
      </c>
      <c r="C647" t="s">
        <v>22</v>
      </c>
      <c r="D647">
        <v>19</v>
      </c>
      <c r="E647">
        <v>15541</v>
      </c>
      <c r="F647">
        <v>22322</v>
      </c>
      <c r="G647" t="s">
        <v>10</v>
      </c>
      <c r="H647" t="str">
        <f>TEXT(CleanData[[#This Row],[Date]],"mmm")</f>
        <v>Apr</v>
      </c>
      <c r="I647">
        <f>WEEKNUM(CleanData[[#This Row],[Date]])</f>
        <v>14</v>
      </c>
      <c r="J647">
        <f>IF(CleanData[[#This Row],[Revenue]]&gt;=CleanData[[#This Row],[Target]],1,0)</f>
        <v>0</v>
      </c>
      <c r="K647">
        <f>IF(CleanData[[#This Row],[Attendance_Status]]="Present",1,0)</f>
        <v>1</v>
      </c>
    </row>
    <row r="648" spans="1:11" x14ac:dyDescent="0.3">
      <c r="A648" t="s">
        <v>11</v>
      </c>
      <c r="B648" t="s">
        <v>67</v>
      </c>
      <c r="C648" t="s">
        <v>13</v>
      </c>
      <c r="D648">
        <v>19</v>
      </c>
      <c r="E648">
        <v>26043</v>
      </c>
      <c r="F648">
        <v>22195</v>
      </c>
      <c r="G648" t="s">
        <v>10</v>
      </c>
      <c r="H648" t="str">
        <f>TEXT(CleanData[[#This Row],[Date]],"mmm")</f>
        <v>Jun</v>
      </c>
      <c r="I648">
        <f>WEEKNUM(CleanData[[#This Row],[Date]])</f>
        <v>23</v>
      </c>
      <c r="J648">
        <f>IF(CleanData[[#This Row],[Revenue]]&gt;=CleanData[[#This Row],[Target]],1,0)</f>
        <v>1</v>
      </c>
      <c r="K648">
        <f>IF(CleanData[[#This Row],[Attendance_Status]]="Present",1,0)</f>
        <v>1</v>
      </c>
    </row>
    <row r="649" spans="1:11" x14ac:dyDescent="0.3">
      <c r="A649" t="s">
        <v>125</v>
      </c>
      <c r="B649" t="s">
        <v>19</v>
      </c>
      <c r="C649" t="s">
        <v>13</v>
      </c>
      <c r="D649">
        <v>8</v>
      </c>
      <c r="E649">
        <v>22024</v>
      </c>
      <c r="F649">
        <v>16278</v>
      </c>
      <c r="G649" t="s">
        <v>10</v>
      </c>
      <c r="H649" t="str">
        <f>TEXT(CleanData[[#This Row],[Date]],"mmm")</f>
        <v>Jun</v>
      </c>
      <c r="I649">
        <f>WEEKNUM(CleanData[[#This Row],[Date]])</f>
        <v>26</v>
      </c>
      <c r="J649">
        <f>IF(CleanData[[#This Row],[Revenue]]&gt;=CleanData[[#This Row],[Target]],1,0)</f>
        <v>1</v>
      </c>
      <c r="K649">
        <f>IF(CleanData[[#This Row],[Attendance_Status]]="Present",1,0)</f>
        <v>1</v>
      </c>
    </row>
    <row r="650" spans="1:11" x14ac:dyDescent="0.3">
      <c r="A650" t="s">
        <v>30</v>
      </c>
      <c r="B650" t="s">
        <v>25</v>
      </c>
      <c r="C650" t="s">
        <v>13</v>
      </c>
      <c r="D650">
        <v>24</v>
      </c>
      <c r="E650">
        <v>10229</v>
      </c>
      <c r="F650">
        <v>22264</v>
      </c>
      <c r="G650" t="s">
        <v>10</v>
      </c>
      <c r="H650" t="str">
        <f>TEXT(CleanData[[#This Row],[Date]],"mmm")</f>
        <v>Mar</v>
      </c>
      <c r="I650">
        <f>WEEKNUM(CleanData[[#This Row],[Date]])</f>
        <v>11</v>
      </c>
      <c r="J650">
        <f>IF(CleanData[[#This Row],[Revenue]]&gt;=CleanData[[#This Row],[Target]],1,0)</f>
        <v>0</v>
      </c>
      <c r="K650">
        <f>IF(CleanData[[#This Row],[Attendance_Status]]="Present",1,0)</f>
        <v>1</v>
      </c>
    </row>
    <row r="651" spans="1:11" x14ac:dyDescent="0.3">
      <c r="A651" t="s">
        <v>24</v>
      </c>
      <c r="B651" t="s">
        <v>31</v>
      </c>
      <c r="C651" t="s">
        <v>22</v>
      </c>
      <c r="D651">
        <v>24</v>
      </c>
      <c r="E651">
        <v>14736</v>
      </c>
      <c r="F651">
        <v>10251</v>
      </c>
      <c r="G651" t="s">
        <v>10</v>
      </c>
      <c r="H651" t="str">
        <f>TEXT(CleanData[[#This Row],[Date]],"mmm")</f>
        <v>May</v>
      </c>
      <c r="I651">
        <f>WEEKNUM(CleanData[[#This Row],[Date]])</f>
        <v>20</v>
      </c>
      <c r="J651">
        <f>IF(CleanData[[#This Row],[Revenue]]&gt;=CleanData[[#This Row],[Target]],1,0)</f>
        <v>1</v>
      </c>
      <c r="K651">
        <f>IF(CleanData[[#This Row],[Attendance_Status]]="Present",1,0)</f>
        <v>1</v>
      </c>
    </row>
    <row r="652" spans="1:11" x14ac:dyDescent="0.3">
      <c r="A652" t="s">
        <v>44</v>
      </c>
      <c r="B652" t="s">
        <v>37</v>
      </c>
      <c r="C652" t="s">
        <v>13</v>
      </c>
      <c r="D652">
        <v>23</v>
      </c>
      <c r="E652">
        <v>28582</v>
      </c>
      <c r="F652">
        <v>14004</v>
      </c>
      <c r="G652" t="s">
        <v>10</v>
      </c>
      <c r="H652" t="str">
        <f>TEXT(CleanData[[#This Row],[Date]],"mmm")</f>
        <v>Mar</v>
      </c>
      <c r="I652">
        <f>WEEKNUM(CleanData[[#This Row],[Date]])</f>
        <v>13</v>
      </c>
      <c r="J652">
        <f>IF(CleanData[[#This Row],[Revenue]]&gt;=CleanData[[#This Row],[Target]],1,0)</f>
        <v>1</v>
      </c>
      <c r="K652">
        <f>IF(CleanData[[#This Row],[Attendance_Status]]="Present",1,0)</f>
        <v>1</v>
      </c>
    </row>
    <row r="653" spans="1:11" x14ac:dyDescent="0.3">
      <c r="A653" t="s">
        <v>203</v>
      </c>
      <c r="B653" t="s">
        <v>33</v>
      </c>
      <c r="C653" t="s">
        <v>9</v>
      </c>
      <c r="D653">
        <v>20</v>
      </c>
      <c r="E653">
        <v>11363</v>
      </c>
      <c r="F653">
        <v>15672</v>
      </c>
      <c r="G653" t="s">
        <v>10</v>
      </c>
      <c r="H653" t="str">
        <f>TEXT(CleanData[[#This Row],[Date]],"mmm")</f>
        <v>Jan</v>
      </c>
      <c r="I653">
        <f>WEEKNUM(CleanData[[#This Row],[Date]])</f>
        <v>3</v>
      </c>
      <c r="J653">
        <f>IF(CleanData[[#This Row],[Revenue]]&gt;=CleanData[[#This Row],[Target]],1,0)</f>
        <v>0</v>
      </c>
      <c r="K653">
        <f>IF(CleanData[[#This Row],[Attendance_Status]]="Present",1,0)</f>
        <v>1</v>
      </c>
    </row>
    <row r="654" spans="1:11" x14ac:dyDescent="0.3">
      <c r="A654" t="s">
        <v>38</v>
      </c>
      <c r="B654" t="s">
        <v>56</v>
      </c>
      <c r="C654" t="s">
        <v>22</v>
      </c>
      <c r="D654">
        <v>25</v>
      </c>
      <c r="E654">
        <v>23333</v>
      </c>
      <c r="F654">
        <v>15623</v>
      </c>
      <c r="G654" t="s">
        <v>10</v>
      </c>
      <c r="H654" t="str">
        <f>TEXT(CleanData[[#This Row],[Date]],"mmm")</f>
        <v>Jan</v>
      </c>
      <c r="I654">
        <f>WEEKNUM(CleanData[[#This Row],[Date]])</f>
        <v>3</v>
      </c>
      <c r="J654">
        <f>IF(CleanData[[#This Row],[Revenue]]&gt;=CleanData[[#This Row],[Target]],1,0)</f>
        <v>1</v>
      </c>
      <c r="K654">
        <f>IF(CleanData[[#This Row],[Attendance_Status]]="Present",1,0)</f>
        <v>1</v>
      </c>
    </row>
    <row r="655" spans="1:11" x14ac:dyDescent="0.3">
      <c r="A655" t="s">
        <v>214</v>
      </c>
      <c r="B655" t="s">
        <v>19</v>
      </c>
      <c r="C655" t="s">
        <v>13</v>
      </c>
      <c r="D655">
        <v>16</v>
      </c>
      <c r="E655">
        <v>17130</v>
      </c>
      <c r="F655">
        <v>22410</v>
      </c>
      <c r="G655" t="s">
        <v>10</v>
      </c>
      <c r="H655" t="str">
        <f>TEXT(CleanData[[#This Row],[Date]],"mmm")</f>
        <v>Jun</v>
      </c>
      <c r="I655">
        <f>WEEKNUM(CleanData[[#This Row],[Date]])</f>
        <v>25</v>
      </c>
      <c r="J655">
        <f>IF(CleanData[[#This Row],[Revenue]]&gt;=CleanData[[#This Row],[Target]],1,0)</f>
        <v>0</v>
      </c>
      <c r="K655">
        <f>IF(CleanData[[#This Row],[Attendance_Status]]="Present",1,0)</f>
        <v>1</v>
      </c>
    </row>
    <row r="656" spans="1:11" x14ac:dyDescent="0.3">
      <c r="A656" t="s">
        <v>156</v>
      </c>
      <c r="B656" t="s">
        <v>75</v>
      </c>
      <c r="C656" t="s">
        <v>22</v>
      </c>
      <c r="D656">
        <v>14</v>
      </c>
      <c r="E656">
        <v>24621</v>
      </c>
      <c r="F656">
        <v>20720</v>
      </c>
      <c r="G656" t="s">
        <v>10</v>
      </c>
      <c r="H656" t="str">
        <f>TEXT(CleanData[[#This Row],[Date]],"mmm")</f>
        <v>Jan</v>
      </c>
      <c r="I656">
        <f>WEEKNUM(CleanData[[#This Row],[Date]])</f>
        <v>1</v>
      </c>
      <c r="J656">
        <f>IF(CleanData[[#This Row],[Revenue]]&gt;=CleanData[[#This Row],[Target]],1,0)</f>
        <v>1</v>
      </c>
      <c r="K656">
        <f>IF(CleanData[[#This Row],[Attendance_Status]]="Present",1,0)</f>
        <v>1</v>
      </c>
    </row>
    <row r="657" spans="1:11" x14ac:dyDescent="0.3">
      <c r="A657" t="s">
        <v>203</v>
      </c>
      <c r="B657" t="s">
        <v>54</v>
      </c>
      <c r="C657" t="s">
        <v>13</v>
      </c>
      <c r="D657">
        <v>25</v>
      </c>
      <c r="E657">
        <v>14390</v>
      </c>
      <c r="F657">
        <v>20103</v>
      </c>
      <c r="G657" t="s">
        <v>10</v>
      </c>
      <c r="H657" t="str">
        <f>TEXT(CleanData[[#This Row],[Date]],"mmm")</f>
        <v>Jan</v>
      </c>
      <c r="I657">
        <f>WEEKNUM(CleanData[[#This Row],[Date]])</f>
        <v>3</v>
      </c>
      <c r="J657">
        <f>IF(CleanData[[#This Row],[Revenue]]&gt;=CleanData[[#This Row],[Target]],1,0)</f>
        <v>0</v>
      </c>
      <c r="K657">
        <f>IF(CleanData[[#This Row],[Attendance_Status]]="Present",1,0)</f>
        <v>1</v>
      </c>
    </row>
    <row r="658" spans="1:11" x14ac:dyDescent="0.3">
      <c r="A658" t="s">
        <v>45</v>
      </c>
      <c r="B658" t="s">
        <v>120</v>
      </c>
      <c r="C658" t="s">
        <v>9</v>
      </c>
      <c r="D658">
        <v>19</v>
      </c>
      <c r="E658">
        <v>18002</v>
      </c>
      <c r="F658">
        <v>15669</v>
      </c>
      <c r="G658" t="s">
        <v>10</v>
      </c>
      <c r="H658" t="str">
        <f>TEXT(CleanData[[#This Row],[Date]],"mmm")</f>
        <v>Jun</v>
      </c>
      <c r="I658">
        <f>WEEKNUM(CleanData[[#This Row],[Date]])</f>
        <v>25</v>
      </c>
      <c r="J658">
        <f>IF(CleanData[[#This Row],[Revenue]]&gt;=CleanData[[#This Row],[Target]],1,0)</f>
        <v>1</v>
      </c>
      <c r="K658">
        <f>IF(CleanData[[#This Row],[Attendance_Status]]="Present",1,0)</f>
        <v>1</v>
      </c>
    </row>
    <row r="659" spans="1:11" x14ac:dyDescent="0.3">
      <c r="A659" t="s">
        <v>184</v>
      </c>
      <c r="B659" t="s">
        <v>52</v>
      </c>
      <c r="C659" t="s">
        <v>9</v>
      </c>
      <c r="D659">
        <v>13</v>
      </c>
      <c r="E659">
        <v>6528</v>
      </c>
      <c r="F659">
        <v>23008</v>
      </c>
      <c r="G659" t="s">
        <v>10</v>
      </c>
      <c r="H659" t="str">
        <f>TEXT(CleanData[[#This Row],[Date]],"mmm")</f>
        <v>Apr</v>
      </c>
      <c r="I659">
        <f>WEEKNUM(CleanData[[#This Row],[Date]])</f>
        <v>17</v>
      </c>
      <c r="J659">
        <f>IF(CleanData[[#This Row],[Revenue]]&gt;=CleanData[[#This Row],[Target]],1,0)</f>
        <v>0</v>
      </c>
      <c r="K659">
        <f>IF(CleanData[[#This Row],[Attendance_Status]]="Present",1,0)</f>
        <v>1</v>
      </c>
    </row>
    <row r="660" spans="1:11" x14ac:dyDescent="0.3">
      <c r="A660" t="s">
        <v>112</v>
      </c>
      <c r="B660" t="s">
        <v>101</v>
      </c>
      <c r="C660" t="s">
        <v>9</v>
      </c>
      <c r="D660">
        <v>25</v>
      </c>
      <c r="E660">
        <v>9892</v>
      </c>
      <c r="F660">
        <v>18377</v>
      </c>
      <c r="G660" t="s">
        <v>10</v>
      </c>
      <c r="H660" t="str">
        <f>TEXT(CleanData[[#This Row],[Date]],"mmm")</f>
        <v>Apr</v>
      </c>
      <c r="I660">
        <f>WEEKNUM(CleanData[[#This Row],[Date]])</f>
        <v>14</v>
      </c>
      <c r="J660">
        <f>IF(CleanData[[#This Row],[Revenue]]&gt;=CleanData[[#This Row],[Target]],1,0)</f>
        <v>0</v>
      </c>
      <c r="K660">
        <f>IF(CleanData[[#This Row],[Attendance_Status]]="Present",1,0)</f>
        <v>1</v>
      </c>
    </row>
    <row r="661" spans="1:11" x14ac:dyDescent="0.3">
      <c r="A661" t="s">
        <v>116</v>
      </c>
      <c r="B661" t="s">
        <v>31</v>
      </c>
      <c r="C661" t="s">
        <v>13</v>
      </c>
      <c r="D661">
        <v>24</v>
      </c>
      <c r="E661">
        <v>26321</v>
      </c>
      <c r="F661">
        <v>23401</v>
      </c>
      <c r="G661" t="s">
        <v>10</v>
      </c>
      <c r="H661" t="str">
        <f>TEXT(CleanData[[#This Row],[Date]],"mmm")</f>
        <v>Jun</v>
      </c>
      <c r="I661">
        <f>WEEKNUM(CleanData[[#This Row],[Date]])</f>
        <v>22</v>
      </c>
      <c r="J661">
        <f>IF(CleanData[[#This Row],[Revenue]]&gt;=CleanData[[#This Row],[Target]],1,0)</f>
        <v>1</v>
      </c>
      <c r="K661">
        <f>IF(CleanData[[#This Row],[Attendance_Status]]="Present",1,0)</f>
        <v>1</v>
      </c>
    </row>
    <row r="662" spans="1:11" x14ac:dyDescent="0.3">
      <c r="A662" t="s">
        <v>32</v>
      </c>
      <c r="B662" t="s">
        <v>79</v>
      </c>
      <c r="C662" t="s">
        <v>9</v>
      </c>
      <c r="D662">
        <v>6</v>
      </c>
      <c r="E662">
        <v>14986</v>
      </c>
      <c r="F662">
        <v>15364</v>
      </c>
      <c r="G662" t="s">
        <v>10</v>
      </c>
      <c r="H662" t="str">
        <f>TEXT(CleanData[[#This Row],[Date]],"mmm")</f>
        <v>Apr</v>
      </c>
      <c r="I662">
        <f>WEEKNUM(CleanData[[#This Row],[Date]])</f>
        <v>14</v>
      </c>
      <c r="J662">
        <f>IF(CleanData[[#This Row],[Revenue]]&gt;=CleanData[[#This Row],[Target]],1,0)</f>
        <v>0</v>
      </c>
      <c r="K662">
        <f>IF(CleanData[[#This Row],[Attendance_Status]]="Present",1,0)</f>
        <v>1</v>
      </c>
    </row>
    <row r="663" spans="1:11" x14ac:dyDescent="0.3">
      <c r="A663" t="s">
        <v>49</v>
      </c>
      <c r="B663" t="s">
        <v>79</v>
      </c>
      <c r="C663" t="s">
        <v>9</v>
      </c>
      <c r="D663">
        <v>21</v>
      </c>
      <c r="E663">
        <v>13618</v>
      </c>
      <c r="F663">
        <v>24558</v>
      </c>
      <c r="G663" t="s">
        <v>10</v>
      </c>
      <c r="H663" t="str">
        <f>TEXT(CleanData[[#This Row],[Date]],"mmm")</f>
        <v>Mar</v>
      </c>
      <c r="I663">
        <f>WEEKNUM(CleanData[[#This Row],[Date]])</f>
        <v>10</v>
      </c>
      <c r="J663">
        <f>IF(CleanData[[#This Row],[Revenue]]&gt;=CleanData[[#This Row],[Target]],1,0)</f>
        <v>0</v>
      </c>
      <c r="K663">
        <f>IF(CleanData[[#This Row],[Attendance_Status]]="Present",1,0)</f>
        <v>1</v>
      </c>
    </row>
    <row r="664" spans="1:11" x14ac:dyDescent="0.3">
      <c r="A664" t="s">
        <v>51</v>
      </c>
      <c r="B664" t="s">
        <v>73</v>
      </c>
      <c r="C664" t="s">
        <v>9</v>
      </c>
      <c r="D664">
        <v>20</v>
      </c>
      <c r="E664">
        <v>6529</v>
      </c>
      <c r="F664">
        <v>10659</v>
      </c>
      <c r="G664" t="s">
        <v>10</v>
      </c>
      <c r="H664" t="str">
        <f>TEXT(CleanData[[#This Row],[Date]],"mmm")</f>
        <v>Apr</v>
      </c>
      <c r="I664">
        <f>WEEKNUM(CleanData[[#This Row],[Date]])</f>
        <v>16</v>
      </c>
      <c r="J664">
        <f>IF(CleanData[[#This Row],[Revenue]]&gt;=CleanData[[#This Row],[Target]],1,0)</f>
        <v>0</v>
      </c>
      <c r="K664">
        <f>IF(CleanData[[#This Row],[Attendance_Status]]="Present",1,0)</f>
        <v>1</v>
      </c>
    </row>
    <row r="665" spans="1:11" x14ac:dyDescent="0.3">
      <c r="A665" t="s">
        <v>78</v>
      </c>
      <c r="B665" t="s">
        <v>73</v>
      </c>
      <c r="C665" t="s">
        <v>22</v>
      </c>
      <c r="D665">
        <v>23</v>
      </c>
      <c r="E665">
        <v>26848</v>
      </c>
      <c r="F665">
        <v>20481</v>
      </c>
      <c r="G665" t="s">
        <v>10</v>
      </c>
      <c r="H665" t="str">
        <f>TEXT(CleanData[[#This Row],[Date]],"mmm")</f>
        <v>Apr</v>
      </c>
      <c r="I665">
        <f>WEEKNUM(CleanData[[#This Row],[Date]])</f>
        <v>15</v>
      </c>
      <c r="J665">
        <f>IF(CleanData[[#This Row],[Revenue]]&gt;=CleanData[[#This Row],[Target]],1,0)</f>
        <v>1</v>
      </c>
      <c r="K665">
        <f>IF(CleanData[[#This Row],[Attendance_Status]]="Present",1,0)</f>
        <v>1</v>
      </c>
    </row>
    <row r="666" spans="1:11" x14ac:dyDescent="0.3">
      <c r="A666" t="s">
        <v>128</v>
      </c>
      <c r="B666" t="s">
        <v>8</v>
      </c>
      <c r="C666" t="s">
        <v>9</v>
      </c>
      <c r="D666">
        <v>16</v>
      </c>
      <c r="E666">
        <v>8593</v>
      </c>
      <c r="F666">
        <v>24827</v>
      </c>
      <c r="G666" t="s">
        <v>26</v>
      </c>
      <c r="H666" t="str">
        <f>TEXT(CleanData[[#This Row],[Date]],"mmm")</f>
        <v>Jan</v>
      </c>
      <c r="I666">
        <f>WEEKNUM(CleanData[[#This Row],[Date]])</f>
        <v>4</v>
      </c>
      <c r="J666">
        <f>IF(CleanData[[#This Row],[Revenue]]&gt;=CleanData[[#This Row],[Target]],1,0)</f>
        <v>0</v>
      </c>
      <c r="K666">
        <f>IF(CleanData[[#This Row],[Attendance_Status]]="Present",1,0)</f>
        <v>0</v>
      </c>
    </row>
    <row r="667" spans="1:11" x14ac:dyDescent="0.3">
      <c r="A667" t="s">
        <v>98</v>
      </c>
      <c r="B667" t="s">
        <v>12</v>
      </c>
      <c r="C667" t="s">
        <v>22</v>
      </c>
      <c r="D667">
        <v>17</v>
      </c>
      <c r="E667">
        <v>9550</v>
      </c>
      <c r="F667">
        <v>10838</v>
      </c>
      <c r="G667" t="s">
        <v>10</v>
      </c>
      <c r="H667" t="str">
        <f>TEXT(CleanData[[#This Row],[Date]],"mmm")</f>
        <v>Mar</v>
      </c>
      <c r="I667">
        <f>WEEKNUM(CleanData[[#This Row],[Date]])</f>
        <v>10</v>
      </c>
      <c r="J667">
        <f>IF(CleanData[[#This Row],[Revenue]]&gt;=CleanData[[#This Row],[Target]],1,0)</f>
        <v>0</v>
      </c>
      <c r="K667">
        <f>IF(CleanData[[#This Row],[Attendance_Status]]="Present",1,0)</f>
        <v>1</v>
      </c>
    </row>
    <row r="668" spans="1:11" x14ac:dyDescent="0.3">
      <c r="A668" t="s">
        <v>126</v>
      </c>
      <c r="B668" t="s">
        <v>64</v>
      </c>
      <c r="C668" t="s">
        <v>22</v>
      </c>
      <c r="D668">
        <v>13</v>
      </c>
      <c r="E668">
        <v>15395</v>
      </c>
      <c r="F668">
        <v>15718</v>
      </c>
      <c r="G668" t="s">
        <v>10</v>
      </c>
      <c r="H668" t="str">
        <f>TEXT(CleanData[[#This Row],[Date]],"mmm")</f>
        <v>Jun</v>
      </c>
      <c r="I668">
        <f>WEEKNUM(CleanData[[#This Row],[Date]])</f>
        <v>25</v>
      </c>
      <c r="J668">
        <f>IF(CleanData[[#This Row],[Revenue]]&gt;=CleanData[[#This Row],[Target]],1,0)</f>
        <v>0</v>
      </c>
      <c r="K668">
        <f>IF(CleanData[[#This Row],[Attendance_Status]]="Present",1,0)</f>
        <v>1</v>
      </c>
    </row>
    <row r="669" spans="1:11" x14ac:dyDescent="0.3">
      <c r="A669" t="s">
        <v>206</v>
      </c>
      <c r="B669" t="s">
        <v>120</v>
      </c>
      <c r="C669" t="s">
        <v>22</v>
      </c>
      <c r="D669">
        <v>18</v>
      </c>
      <c r="E669">
        <v>5536</v>
      </c>
      <c r="F669">
        <v>12159</v>
      </c>
      <c r="G669" t="s">
        <v>10</v>
      </c>
      <c r="H669" t="str">
        <f>TEXT(CleanData[[#This Row],[Date]],"mmm")</f>
        <v>Jun</v>
      </c>
      <c r="I669">
        <f>WEEKNUM(CleanData[[#This Row],[Date]])</f>
        <v>25</v>
      </c>
      <c r="J669">
        <f>IF(CleanData[[#This Row],[Revenue]]&gt;=CleanData[[#This Row],[Target]],1,0)</f>
        <v>0</v>
      </c>
      <c r="K669">
        <f>IF(CleanData[[#This Row],[Attendance_Status]]="Present",1,0)</f>
        <v>1</v>
      </c>
    </row>
    <row r="670" spans="1:11" x14ac:dyDescent="0.3">
      <c r="A670" t="s">
        <v>100</v>
      </c>
      <c r="B670" t="s">
        <v>46</v>
      </c>
      <c r="C670" t="s">
        <v>13</v>
      </c>
      <c r="D670">
        <v>11</v>
      </c>
      <c r="E670">
        <v>7403</v>
      </c>
      <c r="F670">
        <v>13138</v>
      </c>
      <c r="G670" t="s">
        <v>10</v>
      </c>
      <c r="H670" t="str">
        <f>TEXT(CleanData[[#This Row],[Date]],"mmm")</f>
        <v>Apr</v>
      </c>
      <c r="I670">
        <f>WEEKNUM(CleanData[[#This Row],[Date]])</f>
        <v>15</v>
      </c>
      <c r="J670">
        <f>IF(CleanData[[#This Row],[Revenue]]&gt;=CleanData[[#This Row],[Target]],1,0)</f>
        <v>0</v>
      </c>
      <c r="K670">
        <f>IF(CleanData[[#This Row],[Attendance_Status]]="Present",1,0)</f>
        <v>1</v>
      </c>
    </row>
    <row r="671" spans="1:11" x14ac:dyDescent="0.3">
      <c r="A671" t="s">
        <v>217</v>
      </c>
      <c r="B671" t="s">
        <v>75</v>
      </c>
      <c r="C671" t="s">
        <v>22</v>
      </c>
      <c r="D671">
        <v>25</v>
      </c>
      <c r="E671">
        <v>12033</v>
      </c>
      <c r="F671">
        <v>14568</v>
      </c>
      <c r="G671" t="s">
        <v>10</v>
      </c>
      <c r="H671" t="str">
        <f>TEXT(CleanData[[#This Row],[Date]],"mmm")</f>
        <v>Feb</v>
      </c>
      <c r="I671">
        <f>WEEKNUM(CleanData[[#This Row],[Date]])</f>
        <v>9</v>
      </c>
      <c r="J671">
        <f>IF(CleanData[[#This Row],[Revenue]]&gt;=CleanData[[#This Row],[Target]],1,0)</f>
        <v>0</v>
      </c>
      <c r="K671">
        <f>IF(CleanData[[#This Row],[Attendance_Status]]="Present",1,0)</f>
        <v>1</v>
      </c>
    </row>
    <row r="672" spans="1:11" x14ac:dyDescent="0.3">
      <c r="A672" t="s">
        <v>66</v>
      </c>
      <c r="B672" t="s">
        <v>52</v>
      </c>
      <c r="C672" t="s">
        <v>22</v>
      </c>
      <c r="D672">
        <v>8</v>
      </c>
      <c r="E672">
        <v>12141</v>
      </c>
      <c r="F672">
        <v>18164</v>
      </c>
      <c r="G672" t="s">
        <v>26</v>
      </c>
      <c r="H672" t="str">
        <f>TEXT(CleanData[[#This Row],[Date]],"mmm")</f>
        <v>Jun</v>
      </c>
      <c r="I672">
        <f>WEEKNUM(CleanData[[#This Row],[Date]])</f>
        <v>24</v>
      </c>
      <c r="J672">
        <f>IF(CleanData[[#This Row],[Revenue]]&gt;=CleanData[[#This Row],[Target]],1,0)</f>
        <v>0</v>
      </c>
      <c r="K672">
        <f>IF(CleanData[[#This Row],[Attendance_Status]]="Present",1,0)</f>
        <v>0</v>
      </c>
    </row>
    <row r="673" spans="1:11" x14ac:dyDescent="0.3">
      <c r="A673" t="s">
        <v>150</v>
      </c>
      <c r="B673" t="s">
        <v>69</v>
      </c>
      <c r="C673" t="s">
        <v>22</v>
      </c>
      <c r="D673">
        <v>7</v>
      </c>
      <c r="E673">
        <v>29890</v>
      </c>
      <c r="F673">
        <v>18551</v>
      </c>
      <c r="G673" t="s">
        <v>10</v>
      </c>
      <c r="H673" t="str">
        <f>TEXT(CleanData[[#This Row],[Date]],"mmm")</f>
        <v>Feb</v>
      </c>
      <c r="I673">
        <f>WEEKNUM(CleanData[[#This Row],[Date]])</f>
        <v>6</v>
      </c>
      <c r="J673">
        <f>IF(CleanData[[#This Row],[Revenue]]&gt;=CleanData[[#This Row],[Target]],1,0)</f>
        <v>1</v>
      </c>
      <c r="K673">
        <f>IF(CleanData[[#This Row],[Attendance_Status]]="Present",1,0)</f>
        <v>1</v>
      </c>
    </row>
    <row r="674" spans="1:11" x14ac:dyDescent="0.3">
      <c r="A674" t="s">
        <v>114</v>
      </c>
      <c r="B674" t="s">
        <v>120</v>
      </c>
      <c r="C674" t="s">
        <v>9</v>
      </c>
      <c r="D674">
        <v>15</v>
      </c>
      <c r="E674">
        <v>8240</v>
      </c>
      <c r="F674">
        <v>16018</v>
      </c>
      <c r="G674" t="s">
        <v>10</v>
      </c>
      <c r="H674" t="str">
        <f>TEXT(CleanData[[#This Row],[Date]],"mmm")</f>
        <v>May</v>
      </c>
      <c r="I674">
        <f>WEEKNUM(CleanData[[#This Row],[Date]])</f>
        <v>20</v>
      </c>
      <c r="J674">
        <f>IF(CleanData[[#This Row],[Revenue]]&gt;=CleanData[[#This Row],[Target]],1,0)</f>
        <v>0</v>
      </c>
      <c r="K674">
        <f>IF(CleanData[[#This Row],[Attendance_Status]]="Present",1,0)</f>
        <v>1</v>
      </c>
    </row>
    <row r="675" spans="1:11" x14ac:dyDescent="0.3">
      <c r="A675" t="s">
        <v>62</v>
      </c>
      <c r="B675" t="s">
        <v>8</v>
      </c>
      <c r="C675" t="s">
        <v>13</v>
      </c>
      <c r="D675">
        <v>20</v>
      </c>
      <c r="E675">
        <v>7064</v>
      </c>
      <c r="F675">
        <v>18107</v>
      </c>
      <c r="G675" t="s">
        <v>10</v>
      </c>
      <c r="H675" t="str">
        <f>TEXT(CleanData[[#This Row],[Date]],"mmm")</f>
        <v>Jan</v>
      </c>
      <c r="I675">
        <f>WEEKNUM(CleanData[[#This Row],[Date]])</f>
        <v>4</v>
      </c>
      <c r="J675">
        <f>IF(CleanData[[#This Row],[Revenue]]&gt;=CleanData[[#This Row],[Target]],1,0)</f>
        <v>0</v>
      </c>
      <c r="K675">
        <f>IF(CleanData[[#This Row],[Attendance_Status]]="Present",1,0)</f>
        <v>1</v>
      </c>
    </row>
    <row r="676" spans="1:11" x14ac:dyDescent="0.3">
      <c r="A676" t="s">
        <v>218</v>
      </c>
      <c r="B676" t="s">
        <v>48</v>
      </c>
      <c r="C676" t="s">
        <v>13</v>
      </c>
      <c r="D676">
        <v>9</v>
      </c>
      <c r="E676">
        <v>11292</v>
      </c>
      <c r="F676">
        <v>21703</v>
      </c>
      <c r="G676" t="s">
        <v>10</v>
      </c>
      <c r="H676" t="str">
        <f>TEXT(CleanData[[#This Row],[Date]],"mmm")</f>
        <v>Apr</v>
      </c>
      <c r="I676">
        <f>WEEKNUM(CleanData[[#This Row],[Date]])</f>
        <v>15</v>
      </c>
      <c r="J676">
        <f>IF(CleanData[[#This Row],[Revenue]]&gt;=CleanData[[#This Row],[Target]],1,0)</f>
        <v>0</v>
      </c>
      <c r="K676">
        <f>IF(CleanData[[#This Row],[Attendance_Status]]="Present",1,0)</f>
        <v>1</v>
      </c>
    </row>
    <row r="677" spans="1:11" x14ac:dyDescent="0.3">
      <c r="A677" t="s">
        <v>95</v>
      </c>
      <c r="B677" t="s">
        <v>42</v>
      </c>
      <c r="C677" t="s">
        <v>13</v>
      </c>
      <c r="D677">
        <v>18</v>
      </c>
      <c r="E677">
        <v>15397</v>
      </c>
      <c r="F677">
        <v>22900</v>
      </c>
      <c r="G677" t="s">
        <v>10</v>
      </c>
      <c r="H677" t="str">
        <f>TEXT(CleanData[[#This Row],[Date]],"mmm")</f>
        <v>May</v>
      </c>
      <c r="I677">
        <f>WEEKNUM(CleanData[[#This Row],[Date]])</f>
        <v>20</v>
      </c>
      <c r="J677">
        <f>IF(CleanData[[#This Row],[Revenue]]&gt;=CleanData[[#This Row],[Target]],1,0)</f>
        <v>0</v>
      </c>
      <c r="K677">
        <f>IF(CleanData[[#This Row],[Attendance_Status]]="Present",1,0)</f>
        <v>1</v>
      </c>
    </row>
    <row r="678" spans="1:11" x14ac:dyDescent="0.3">
      <c r="A678" t="s">
        <v>169</v>
      </c>
      <c r="B678" t="s">
        <v>101</v>
      </c>
      <c r="C678" t="s">
        <v>13</v>
      </c>
      <c r="D678">
        <v>9</v>
      </c>
      <c r="E678">
        <v>14324</v>
      </c>
      <c r="F678">
        <v>22944</v>
      </c>
      <c r="G678" t="s">
        <v>10</v>
      </c>
      <c r="H678" t="str">
        <f>TEXT(CleanData[[#This Row],[Date]],"mmm")</f>
        <v>Jan</v>
      </c>
      <c r="I678">
        <f>WEEKNUM(CleanData[[#This Row],[Date]])</f>
        <v>2</v>
      </c>
      <c r="J678">
        <f>IF(CleanData[[#This Row],[Revenue]]&gt;=CleanData[[#This Row],[Target]],1,0)</f>
        <v>0</v>
      </c>
      <c r="K678">
        <f>IF(CleanData[[#This Row],[Attendance_Status]]="Present",1,0)</f>
        <v>1</v>
      </c>
    </row>
    <row r="679" spans="1:11" x14ac:dyDescent="0.3">
      <c r="A679" t="s">
        <v>77</v>
      </c>
      <c r="B679" t="s">
        <v>21</v>
      </c>
      <c r="C679" t="s">
        <v>13</v>
      </c>
      <c r="D679">
        <v>16</v>
      </c>
      <c r="E679">
        <v>28627</v>
      </c>
      <c r="F679">
        <v>22428</v>
      </c>
      <c r="G679" t="s">
        <v>10</v>
      </c>
      <c r="H679" t="str">
        <f>TEXT(CleanData[[#This Row],[Date]],"mmm")</f>
        <v>Jun</v>
      </c>
      <c r="I679">
        <f>WEEKNUM(CleanData[[#This Row],[Date]])</f>
        <v>24</v>
      </c>
      <c r="J679">
        <f>IF(CleanData[[#This Row],[Revenue]]&gt;=CleanData[[#This Row],[Target]],1,0)</f>
        <v>1</v>
      </c>
      <c r="K679">
        <f>IF(CleanData[[#This Row],[Attendance_Status]]="Present",1,0)</f>
        <v>1</v>
      </c>
    </row>
    <row r="680" spans="1:11" x14ac:dyDescent="0.3">
      <c r="A680" t="s">
        <v>97</v>
      </c>
      <c r="B680" t="s">
        <v>21</v>
      </c>
      <c r="C680" t="s">
        <v>9</v>
      </c>
      <c r="D680">
        <v>12</v>
      </c>
      <c r="E680">
        <v>28188</v>
      </c>
      <c r="F680">
        <v>17160</v>
      </c>
      <c r="G680" t="s">
        <v>10</v>
      </c>
      <c r="H680" t="str">
        <f>TEXT(CleanData[[#This Row],[Date]],"mmm")</f>
        <v>Mar</v>
      </c>
      <c r="I680">
        <f>WEEKNUM(CleanData[[#This Row],[Date]])</f>
        <v>11</v>
      </c>
      <c r="J680">
        <f>IF(CleanData[[#This Row],[Revenue]]&gt;=CleanData[[#This Row],[Target]],1,0)</f>
        <v>1</v>
      </c>
      <c r="K680">
        <f>IF(CleanData[[#This Row],[Attendance_Status]]="Present",1,0)</f>
        <v>1</v>
      </c>
    </row>
    <row r="681" spans="1:11" x14ac:dyDescent="0.3">
      <c r="A681" t="s">
        <v>122</v>
      </c>
      <c r="B681" t="s">
        <v>29</v>
      </c>
      <c r="C681" t="s">
        <v>9</v>
      </c>
      <c r="D681">
        <v>16</v>
      </c>
      <c r="E681">
        <v>7152</v>
      </c>
      <c r="F681">
        <v>13511</v>
      </c>
      <c r="G681" t="s">
        <v>26</v>
      </c>
      <c r="H681" t="str">
        <f>TEXT(CleanData[[#This Row],[Date]],"mmm")</f>
        <v>Feb</v>
      </c>
      <c r="I681">
        <f>WEEKNUM(CleanData[[#This Row],[Date]])</f>
        <v>6</v>
      </c>
      <c r="J681">
        <f>IF(CleanData[[#This Row],[Revenue]]&gt;=CleanData[[#This Row],[Target]],1,0)</f>
        <v>0</v>
      </c>
      <c r="K681">
        <f>IF(CleanData[[#This Row],[Attendance_Status]]="Present",1,0)</f>
        <v>0</v>
      </c>
    </row>
    <row r="682" spans="1:11" x14ac:dyDescent="0.3">
      <c r="A682" t="s">
        <v>218</v>
      </c>
      <c r="B682" t="s">
        <v>29</v>
      </c>
      <c r="C682" t="s">
        <v>13</v>
      </c>
      <c r="D682">
        <v>22</v>
      </c>
      <c r="E682">
        <v>15314</v>
      </c>
      <c r="F682">
        <v>13241</v>
      </c>
      <c r="G682" t="s">
        <v>10</v>
      </c>
      <c r="H682" t="str">
        <f>TEXT(CleanData[[#This Row],[Date]],"mmm")</f>
        <v>Apr</v>
      </c>
      <c r="I682">
        <f>WEEKNUM(CleanData[[#This Row],[Date]])</f>
        <v>15</v>
      </c>
      <c r="J682">
        <f>IF(CleanData[[#This Row],[Revenue]]&gt;=CleanData[[#This Row],[Target]],1,0)</f>
        <v>1</v>
      </c>
      <c r="K682">
        <f>IF(CleanData[[#This Row],[Attendance_Status]]="Present",1,0)</f>
        <v>1</v>
      </c>
    </row>
    <row r="683" spans="1:11" x14ac:dyDescent="0.3">
      <c r="A683" t="s">
        <v>145</v>
      </c>
      <c r="B683" t="s">
        <v>19</v>
      </c>
      <c r="C683" t="s">
        <v>22</v>
      </c>
      <c r="D683">
        <v>12</v>
      </c>
      <c r="E683">
        <v>8887</v>
      </c>
      <c r="F683">
        <v>14419</v>
      </c>
      <c r="G683" t="s">
        <v>10</v>
      </c>
      <c r="H683" t="str">
        <f>TEXT(CleanData[[#This Row],[Date]],"mmm")</f>
        <v>Feb</v>
      </c>
      <c r="I683">
        <f>WEEKNUM(CleanData[[#This Row],[Date]])</f>
        <v>7</v>
      </c>
      <c r="J683">
        <f>IF(CleanData[[#This Row],[Revenue]]&gt;=CleanData[[#This Row],[Target]],1,0)</f>
        <v>0</v>
      </c>
      <c r="K683">
        <f>IF(CleanData[[#This Row],[Attendance_Status]]="Present",1,0)</f>
        <v>1</v>
      </c>
    </row>
    <row r="684" spans="1:11" x14ac:dyDescent="0.3">
      <c r="A684" t="s">
        <v>206</v>
      </c>
      <c r="B684" t="s">
        <v>31</v>
      </c>
      <c r="C684" t="s">
        <v>9</v>
      </c>
      <c r="D684">
        <v>11</v>
      </c>
      <c r="E684">
        <v>22744</v>
      </c>
      <c r="F684">
        <v>11917</v>
      </c>
      <c r="G684" t="s">
        <v>10</v>
      </c>
      <c r="H684" t="str">
        <f>TEXT(CleanData[[#This Row],[Date]],"mmm")</f>
        <v>Jun</v>
      </c>
      <c r="I684">
        <f>WEEKNUM(CleanData[[#This Row],[Date]])</f>
        <v>25</v>
      </c>
      <c r="J684">
        <f>IF(CleanData[[#This Row],[Revenue]]&gt;=CleanData[[#This Row],[Target]],1,0)</f>
        <v>1</v>
      </c>
      <c r="K684">
        <f>IF(CleanData[[#This Row],[Attendance_Status]]="Present",1,0)</f>
        <v>1</v>
      </c>
    </row>
    <row r="685" spans="1:11" x14ac:dyDescent="0.3">
      <c r="A685" t="s">
        <v>112</v>
      </c>
      <c r="B685" t="s">
        <v>17</v>
      </c>
      <c r="C685" t="s">
        <v>13</v>
      </c>
      <c r="D685">
        <v>6</v>
      </c>
      <c r="E685">
        <v>29386</v>
      </c>
      <c r="F685">
        <v>22117</v>
      </c>
      <c r="G685" t="s">
        <v>10</v>
      </c>
      <c r="H685" t="str">
        <f>TEXT(CleanData[[#This Row],[Date]],"mmm")</f>
        <v>Apr</v>
      </c>
      <c r="I685">
        <f>WEEKNUM(CleanData[[#This Row],[Date]])</f>
        <v>14</v>
      </c>
      <c r="J685">
        <f>IF(CleanData[[#This Row],[Revenue]]&gt;=CleanData[[#This Row],[Target]],1,0)</f>
        <v>1</v>
      </c>
      <c r="K685">
        <f>IF(CleanData[[#This Row],[Attendance_Status]]="Present",1,0)</f>
        <v>1</v>
      </c>
    </row>
    <row r="686" spans="1:11" x14ac:dyDescent="0.3">
      <c r="A686" t="s">
        <v>66</v>
      </c>
      <c r="B686" t="s">
        <v>37</v>
      </c>
      <c r="C686" t="s">
        <v>22</v>
      </c>
      <c r="D686">
        <v>20</v>
      </c>
      <c r="E686">
        <v>10182</v>
      </c>
      <c r="F686">
        <v>20960</v>
      </c>
      <c r="G686" t="s">
        <v>10</v>
      </c>
      <c r="H686" t="str">
        <f>TEXT(CleanData[[#This Row],[Date]],"mmm")</f>
        <v>Jun</v>
      </c>
      <c r="I686">
        <f>WEEKNUM(CleanData[[#This Row],[Date]])</f>
        <v>24</v>
      </c>
      <c r="J686">
        <f>IF(CleanData[[#This Row],[Revenue]]&gt;=CleanData[[#This Row],[Target]],1,0)</f>
        <v>0</v>
      </c>
      <c r="K686">
        <f>IF(CleanData[[#This Row],[Attendance_Status]]="Present",1,0)</f>
        <v>1</v>
      </c>
    </row>
    <row r="687" spans="1:11" x14ac:dyDescent="0.3">
      <c r="A687" t="s">
        <v>144</v>
      </c>
      <c r="B687" t="s">
        <v>37</v>
      </c>
      <c r="C687" t="s">
        <v>9</v>
      </c>
      <c r="D687">
        <v>7</v>
      </c>
      <c r="E687">
        <v>9542</v>
      </c>
      <c r="F687">
        <v>19207</v>
      </c>
      <c r="G687" t="s">
        <v>26</v>
      </c>
      <c r="H687" t="str">
        <f>TEXT(CleanData[[#This Row],[Date]],"mmm")</f>
        <v>Jan</v>
      </c>
      <c r="I687">
        <f>WEEKNUM(CleanData[[#This Row],[Date]])</f>
        <v>1</v>
      </c>
      <c r="J687">
        <f>IF(CleanData[[#This Row],[Revenue]]&gt;=CleanData[[#This Row],[Target]],1,0)</f>
        <v>0</v>
      </c>
      <c r="K687">
        <f>IF(CleanData[[#This Row],[Attendance_Status]]="Present",1,0)</f>
        <v>0</v>
      </c>
    </row>
    <row r="688" spans="1:11" x14ac:dyDescent="0.3">
      <c r="A688" t="s">
        <v>112</v>
      </c>
      <c r="B688" t="s">
        <v>48</v>
      </c>
      <c r="C688" t="s">
        <v>13</v>
      </c>
      <c r="D688">
        <v>16</v>
      </c>
      <c r="E688">
        <v>9075</v>
      </c>
      <c r="F688">
        <v>20251</v>
      </c>
      <c r="G688" t="s">
        <v>10</v>
      </c>
      <c r="H688" t="str">
        <f>TEXT(CleanData[[#This Row],[Date]],"mmm")</f>
        <v>Apr</v>
      </c>
      <c r="I688">
        <f>WEEKNUM(CleanData[[#This Row],[Date]])</f>
        <v>14</v>
      </c>
      <c r="J688">
        <f>IF(CleanData[[#This Row],[Revenue]]&gt;=CleanData[[#This Row],[Target]],1,0)</f>
        <v>0</v>
      </c>
      <c r="K688">
        <f>IF(CleanData[[#This Row],[Attendance_Status]]="Present",1,0)</f>
        <v>1</v>
      </c>
    </row>
    <row r="689" spans="1:11" x14ac:dyDescent="0.3">
      <c r="A689" t="s">
        <v>219</v>
      </c>
      <c r="B689" t="s">
        <v>27</v>
      </c>
      <c r="C689" t="s">
        <v>22</v>
      </c>
      <c r="D689">
        <v>11</v>
      </c>
      <c r="E689">
        <v>29465</v>
      </c>
      <c r="F689">
        <v>12279</v>
      </c>
      <c r="G689" t="s">
        <v>10</v>
      </c>
      <c r="H689" t="str">
        <f>TEXT(CleanData[[#This Row],[Date]],"mmm")</f>
        <v>Feb</v>
      </c>
      <c r="I689">
        <f>WEEKNUM(CleanData[[#This Row],[Date]])</f>
        <v>7</v>
      </c>
      <c r="J689">
        <f>IF(CleanData[[#This Row],[Revenue]]&gt;=CleanData[[#This Row],[Target]],1,0)</f>
        <v>1</v>
      </c>
      <c r="K689">
        <f>IF(CleanData[[#This Row],[Attendance_Status]]="Present",1,0)</f>
        <v>1</v>
      </c>
    </row>
    <row r="690" spans="1:11" x14ac:dyDescent="0.3">
      <c r="A690" t="s">
        <v>171</v>
      </c>
      <c r="B690" t="s">
        <v>52</v>
      </c>
      <c r="C690" t="s">
        <v>22</v>
      </c>
      <c r="D690">
        <v>10</v>
      </c>
      <c r="E690">
        <v>12276</v>
      </c>
      <c r="F690">
        <v>21882</v>
      </c>
      <c r="G690" t="s">
        <v>10</v>
      </c>
      <c r="H690" t="str">
        <f>TEXT(CleanData[[#This Row],[Date]],"mmm")</f>
        <v>Jan</v>
      </c>
      <c r="I690">
        <f>WEEKNUM(CleanData[[#This Row],[Date]])</f>
        <v>4</v>
      </c>
      <c r="J690">
        <f>IF(CleanData[[#This Row],[Revenue]]&gt;=CleanData[[#This Row],[Target]],1,0)</f>
        <v>0</v>
      </c>
      <c r="K690">
        <f>IF(CleanData[[#This Row],[Attendance_Status]]="Present",1,0)</f>
        <v>1</v>
      </c>
    </row>
    <row r="691" spans="1:11" x14ac:dyDescent="0.3">
      <c r="A691" t="s">
        <v>165</v>
      </c>
      <c r="B691" t="s">
        <v>12</v>
      </c>
      <c r="C691" t="s">
        <v>9</v>
      </c>
      <c r="D691">
        <v>15</v>
      </c>
      <c r="E691">
        <v>6323</v>
      </c>
      <c r="F691">
        <v>10774</v>
      </c>
      <c r="G691" t="s">
        <v>10</v>
      </c>
      <c r="H691" t="str">
        <f>TEXT(CleanData[[#This Row],[Date]],"mmm")</f>
        <v>Feb</v>
      </c>
      <c r="I691">
        <f>WEEKNUM(CleanData[[#This Row],[Date]])</f>
        <v>9</v>
      </c>
      <c r="J691">
        <f>IF(CleanData[[#This Row],[Revenue]]&gt;=CleanData[[#This Row],[Target]],1,0)</f>
        <v>0</v>
      </c>
      <c r="K691">
        <f>IF(CleanData[[#This Row],[Attendance_Status]]="Present",1,0)</f>
        <v>1</v>
      </c>
    </row>
    <row r="692" spans="1:11" x14ac:dyDescent="0.3">
      <c r="A692" t="s">
        <v>81</v>
      </c>
      <c r="B692" t="s">
        <v>54</v>
      </c>
      <c r="C692" t="s">
        <v>13</v>
      </c>
      <c r="D692">
        <v>11</v>
      </c>
      <c r="E692">
        <v>24970</v>
      </c>
      <c r="F692">
        <v>20678</v>
      </c>
      <c r="G692" t="s">
        <v>10</v>
      </c>
      <c r="H692" t="str">
        <f>TEXT(CleanData[[#This Row],[Date]],"mmm")</f>
        <v>Feb</v>
      </c>
      <c r="I692">
        <f>WEEKNUM(CleanData[[#This Row],[Date]])</f>
        <v>7</v>
      </c>
      <c r="J692">
        <f>IF(CleanData[[#This Row],[Revenue]]&gt;=CleanData[[#This Row],[Target]],1,0)</f>
        <v>1</v>
      </c>
      <c r="K692">
        <f>IF(CleanData[[#This Row],[Attendance_Status]]="Present",1,0)</f>
        <v>1</v>
      </c>
    </row>
    <row r="693" spans="1:11" x14ac:dyDescent="0.3">
      <c r="A693" t="s">
        <v>66</v>
      </c>
      <c r="B693" t="s">
        <v>52</v>
      </c>
      <c r="C693" t="s">
        <v>13</v>
      </c>
      <c r="D693">
        <v>13</v>
      </c>
      <c r="E693">
        <v>13913</v>
      </c>
      <c r="F693">
        <v>19383</v>
      </c>
      <c r="G693" t="s">
        <v>10</v>
      </c>
      <c r="H693" t="str">
        <f>TEXT(CleanData[[#This Row],[Date]],"mmm")</f>
        <v>Jun</v>
      </c>
      <c r="I693">
        <f>WEEKNUM(CleanData[[#This Row],[Date]])</f>
        <v>24</v>
      </c>
      <c r="J693">
        <f>IF(CleanData[[#This Row],[Revenue]]&gt;=CleanData[[#This Row],[Target]],1,0)</f>
        <v>0</v>
      </c>
      <c r="K693">
        <f>IF(CleanData[[#This Row],[Attendance_Status]]="Present",1,0)</f>
        <v>1</v>
      </c>
    </row>
    <row r="694" spans="1:11" x14ac:dyDescent="0.3">
      <c r="A694" t="s">
        <v>53</v>
      </c>
      <c r="B694" t="s">
        <v>15</v>
      </c>
      <c r="C694" t="s">
        <v>22</v>
      </c>
      <c r="D694">
        <v>5</v>
      </c>
      <c r="E694">
        <v>11028</v>
      </c>
      <c r="F694">
        <v>13433</v>
      </c>
      <c r="G694" t="s">
        <v>10</v>
      </c>
      <c r="H694" t="str">
        <f>TEXT(CleanData[[#This Row],[Date]],"mmm")</f>
        <v>Jan</v>
      </c>
      <c r="I694">
        <f>WEEKNUM(CleanData[[#This Row],[Date]])</f>
        <v>1</v>
      </c>
      <c r="J694">
        <f>IF(CleanData[[#This Row],[Revenue]]&gt;=CleanData[[#This Row],[Target]],1,0)</f>
        <v>0</v>
      </c>
      <c r="K694">
        <f>IF(CleanData[[#This Row],[Attendance_Status]]="Present",1,0)</f>
        <v>1</v>
      </c>
    </row>
    <row r="695" spans="1:11" x14ac:dyDescent="0.3">
      <c r="A695" t="s">
        <v>24</v>
      </c>
      <c r="B695" t="s">
        <v>35</v>
      </c>
      <c r="C695" t="s">
        <v>9</v>
      </c>
      <c r="D695">
        <v>6</v>
      </c>
      <c r="E695">
        <v>11286</v>
      </c>
      <c r="F695">
        <v>19884</v>
      </c>
      <c r="G695" t="s">
        <v>10</v>
      </c>
      <c r="H695" t="str">
        <f>TEXT(CleanData[[#This Row],[Date]],"mmm")</f>
        <v>May</v>
      </c>
      <c r="I695">
        <f>WEEKNUM(CleanData[[#This Row],[Date]])</f>
        <v>20</v>
      </c>
      <c r="J695">
        <f>IF(CleanData[[#This Row],[Revenue]]&gt;=CleanData[[#This Row],[Target]],1,0)</f>
        <v>0</v>
      </c>
      <c r="K695">
        <f>IF(CleanData[[#This Row],[Attendance_Status]]="Present",1,0)</f>
        <v>1</v>
      </c>
    </row>
    <row r="696" spans="1:11" x14ac:dyDescent="0.3">
      <c r="A696" t="s">
        <v>66</v>
      </c>
      <c r="B696" t="s">
        <v>37</v>
      </c>
      <c r="C696" t="s">
        <v>13</v>
      </c>
      <c r="D696">
        <v>25</v>
      </c>
      <c r="E696">
        <v>20899</v>
      </c>
      <c r="F696">
        <v>10846</v>
      </c>
      <c r="G696" t="s">
        <v>26</v>
      </c>
      <c r="H696" t="str">
        <f>TEXT(CleanData[[#This Row],[Date]],"mmm")</f>
        <v>Jun</v>
      </c>
      <c r="I696">
        <f>WEEKNUM(CleanData[[#This Row],[Date]])</f>
        <v>24</v>
      </c>
      <c r="J696">
        <f>IF(CleanData[[#This Row],[Revenue]]&gt;=CleanData[[#This Row],[Target]],1,0)</f>
        <v>1</v>
      </c>
      <c r="K696">
        <f>IF(CleanData[[#This Row],[Attendance_Status]]="Present",1,0)</f>
        <v>0</v>
      </c>
    </row>
    <row r="697" spans="1:11" x14ac:dyDescent="0.3">
      <c r="A697" t="s">
        <v>39</v>
      </c>
      <c r="B697" t="s">
        <v>120</v>
      </c>
      <c r="C697" t="s">
        <v>22</v>
      </c>
      <c r="D697">
        <v>17</v>
      </c>
      <c r="E697">
        <v>28928</v>
      </c>
      <c r="F697">
        <v>19764</v>
      </c>
      <c r="G697" t="s">
        <v>10</v>
      </c>
      <c r="H697" t="str">
        <f>TEXT(CleanData[[#This Row],[Date]],"mmm")</f>
        <v>Feb</v>
      </c>
      <c r="I697">
        <f>WEEKNUM(CleanData[[#This Row],[Date]])</f>
        <v>8</v>
      </c>
      <c r="J697">
        <f>IF(CleanData[[#This Row],[Revenue]]&gt;=CleanData[[#This Row],[Target]],1,0)</f>
        <v>1</v>
      </c>
      <c r="K697">
        <f>IF(CleanData[[#This Row],[Attendance_Status]]="Present",1,0)</f>
        <v>1</v>
      </c>
    </row>
    <row r="698" spans="1:11" x14ac:dyDescent="0.3">
      <c r="A698" t="s">
        <v>165</v>
      </c>
      <c r="B698" t="s">
        <v>79</v>
      </c>
      <c r="C698" t="s">
        <v>9</v>
      </c>
      <c r="D698">
        <v>25</v>
      </c>
      <c r="E698">
        <v>29354</v>
      </c>
      <c r="F698">
        <v>16908</v>
      </c>
      <c r="G698" t="s">
        <v>10</v>
      </c>
      <c r="H698" t="str">
        <f>TEXT(CleanData[[#This Row],[Date]],"mmm")</f>
        <v>Feb</v>
      </c>
      <c r="I698">
        <f>WEEKNUM(CleanData[[#This Row],[Date]])</f>
        <v>9</v>
      </c>
      <c r="J698">
        <f>IF(CleanData[[#This Row],[Revenue]]&gt;=CleanData[[#This Row],[Target]],1,0)</f>
        <v>1</v>
      </c>
      <c r="K698">
        <f>IF(CleanData[[#This Row],[Attendance_Status]]="Present",1,0)</f>
        <v>1</v>
      </c>
    </row>
    <row r="699" spans="1:11" x14ac:dyDescent="0.3">
      <c r="A699" t="s">
        <v>70</v>
      </c>
      <c r="B699" t="s">
        <v>17</v>
      </c>
      <c r="C699" t="s">
        <v>22</v>
      </c>
      <c r="D699">
        <v>24</v>
      </c>
      <c r="E699">
        <v>6778</v>
      </c>
      <c r="F699">
        <v>16259</v>
      </c>
      <c r="G699" t="s">
        <v>10</v>
      </c>
      <c r="H699" t="str">
        <f>TEXT(CleanData[[#This Row],[Date]],"mmm")</f>
        <v>May</v>
      </c>
      <c r="I699">
        <f>WEEKNUM(CleanData[[#This Row],[Date]])</f>
        <v>19</v>
      </c>
      <c r="J699">
        <f>IF(CleanData[[#This Row],[Revenue]]&gt;=CleanData[[#This Row],[Target]],1,0)</f>
        <v>0</v>
      </c>
      <c r="K699">
        <f>IF(CleanData[[#This Row],[Attendance_Status]]="Present",1,0)</f>
        <v>1</v>
      </c>
    </row>
    <row r="700" spans="1:11" x14ac:dyDescent="0.3">
      <c r="A700" t="s">
        <v>214</v>
      </c>
      <c r="B700" t="s">
        <v>75</v>
      </c>
      <c r="C700" t="s">
        <v>9</v>
      </c>
      <c r="D700">
        <v>15</v>
      </c>
      <c r="E700">
        <v>7994</v>
      </c>
      <c r="F700">
        <v>20314</v>
      </c>
      <c r="G700" t="s">
        <v>10</v>
      </c>
      <c r="H700" t="str">
        <f>TEXT(CleanData[[#This Row],[Date]],"mmm")</f>
        <v>Jun</v>
      </c>
      <c r="I700">
        <f>WEEKNUM(CleanData[[#This Row],[Date]])</f>
        <v>25</v>
      </c>
      <c r="J700">
        <f>IF(CleanData[[#This Row],[Revenue]]&gt;=CleanData[[#This Row],[Target]],1,0)</f>
        <v>0</v>
      </c>
      <c r="K700">
        <f>IF(CleanData[[#This Row],[Attendance_Status]]="Present",1,0)</f>
        <v>1</v>
      </c>
    </row>
    <row r="701" spans="1:11" x14ac:dyDescent="0.3">
      <c r="A701" t="s">
        <v>165</v>
      </c>
      <c r="B701" t="s">
        <v>25</v>
      </c>
      <c r="C701" t="s">
        <v>13</v>
      </c>
      <c r="D701">
        <v>21</v>
      </c>
      <c r="E701">
        <v>15731</v>
      </c>
      <c r="F701">
        <v>11146</v>
      </c>
      <c r="G701" t="s">
        <v>26</v>
      </c>
      <c r="H701" t="str">
        <f>TEXT(CleanData[[#This Row],[Date]],"mmm")</f>
        <v>Feb</v>
      </c>
      <c r="I701">
        <f>WEEKNUM(CleanData[[#This Row],[Date]])</f>
        <v>9</v>
      </c>
      <c r="J701">
        <f>IF(CleanData[[#This Row],[Revenue]]&gt;=CleanData[[#This Row],[Target]],1,0)</f>
        <v>1</v>
      </c>
      <c r="K701">
        <f>IF(CleanData[[#This Row],[Attendance_Status]]="Present",1,0)</f>
        <v>0</v>
      </c>
    </row>
    <row r="702" spans="1:11" x14ac:dyDescent="0.3">
      <c r="A702" t="s">
        <v>115</v>
      </c>
      <c r="B702" t="s">
        <v>120</v>
      </c>
      <c r="C702" t="s">
        <v>22</v>
      </c>
      <c r="D702">
        <v>14</v>
      </c>
      <c r="E702">
        <v>21461</v>
      </c>
      <c r="F702">
        <v>21768</v>
      </c>
      <c r="G702" t="s">
        <v>10</v>
      </c>
      <c r="H702" t="str">
        <f>TEXT(CleanData[[#This Row],[Date]],"mmm")</f>
        <v>Jan</v>
      </c>
      <c r="I702">
        <f>WEEKNUM(CleanData[[#This Row],[Date]])</f>
        <v>3</v>
      </c>
      <c r="J702">
        <f>IF(CleanData[[#This Row],[Revenue]]&gt;=CleanData[[#This Row],[Target]],1,0)</f>
        <v>0</v>
      </c>
      <c r="K702">
        <f>IF(CleanData[[#This Row],[Attendance_Status]]="Present",1,0)</f>
        <v>1</v>
      </c>
    </row>
    <row r="703" spans="1:11" x14ac:dyDescent="0.3">
      <c r="A703" t="s">
        <v>208</v>
      </c>
      <c r="B703" t="s">
        <v>92</v>
      </c>
      <c r="C703" t="s">
        <v>22</v>
      </c>
      <c r="D703">
        <v>18</v>
      </c>
      <c r="E703">
        <v>25515</v>
      </c>
      <c r="F703">
        <v>19012</v>
      </c>
      <c r="G703" t="s">
        <v>10</v>
      </c>
      <c r="H703" t="str">
        <f>TEXT(CleanData[[#This Row],[Date]],"mmm")</f>
        <v>Apr</v>
      </c>
      <c r="I703">
        <f>WEEKNUM(CleanData[[#This Row],[Date]])</f>
        <v>18</v>
      </c>
      <c r="J703">
        <f>IF(CleanData[[#This Row],[Revenue]]&gt;=CleanData[[#This Row],[Target]],1,0)</f>
        <v>1</v>
      </c>
      <c r="K703">
        <f>IF(CleanData[[#This Row],[Attendance_Status]]="Present",1,0)</f>
        <v>1</v>
      </c>
    </row>
    <row r="704" spans="1:11" x14ac:dyDescent="0.3">
      <c r="A704" t="s">
        <v>130</v>
      </c>
      <c r="B704" t="s">
        <v>48</v>
      </c>
      <c r="C704" t="s">
        <v>9</v>
      </c>
      <c r="D704">
        <v>10</v>
      </c>
      <c r="E704">
        <v>18223</v>
      </c>
      <c r="F704">
        <v>17405</v>
      </c>
      <c r="G704" t="s">
        <v>10</v>
      </c>
      <c r="H704" t="str">
        <f>TEXT(CleanData[[#This Row],[Date]],"mmm")</f>
        <v>May</v>
      </c>
      <c r="I704">
        <f>WEEKNUM(CleanData[[#This Row],[Date]])</f>
        <v>20</v>
      </c>
      <c r="J704">
        <f>IF(CleanData[[#This Row],[Revenue]]&gt;=CleanData[[#This Row],[Target]],1,0)</f>
        <v>1</v>
      </c>
      <c r="K704">
        <f>IF(CleanData[[#This Row],[Attendance_Status]]="Present",1,0)</f>
        <v>1</v>
      </c>
    </row>
    <row r="705" spans="1:11" x14ac:dyDescent="0.3">
      <c r="A705" t="s">
        <v>119</v>
      </c>
      <c r="B705" t="s">
        <v>37</v>
      </c>
      <c r="C705" t="s">
        <v>9</v>
      </c>
      <c r="D705">
        <v>20</v>
      </c>
      <c r="E705">
        <v>20920</v>
      </c>
      <c r="F705">
        <v>18047</v>
      </c>
      <c r="G705" t="s">
        <v>10</v>
      </c>
      <c r="H705" t="str">
        <f>TEXT(CleanData[[#This Row],[Date]],"mmm")</f>
        <v>Jan</v>
      </c>
      <c r="I705">
        <f>WEEKNUM(CleanData[[#This Row],[Date]])</f>
        <v>4</v>
      </c>
      <c r="J705">
        <f>IF(CleanData[[#This Row],[Revenue]]&gt;=CleanData[[#This Row],[Target]],1,0)</f>
        <v>1</v>
      </c>
      <c r="K705">
        <f>IF(CleanData[[#This Row],[Attendance_Status]]="Present",1,0)</f>
        <v>1</v>
      </c>
    </row>
    <row r="706" spans="1:11" x14ac:dyDescent="0.3">
      <c r="A706" t="s">
        <v>107</v>
      </c>
      <c r="B706" t="s">
        <v>25</v>
      </c>
      <c r="C706" t="s">
        <v>13</v>
      </c>
      <c r="D706">
        <v>22</v>
      </c>
      <c r="E706">
        <v>27946</v>
      </c>
      <c r="F706">
        <v>16377</v>
      </c>
      <c r="G706" t="s">
        <v>10</v>
      </c>
      <c r="H706" t="str">
        <f>TEXT(CleanData[[#This Row],[Date]],"mmm")</f>
        <v>Mar</v>
      </c>
      <c r="I706">
        <f>WEEKNUM(CleanData[[#This Row],[Date]])</f>
        <v>12</v>
      </c>
      <c r="J706">
        <f>IF(CleanData[[#This Row],[Revenue]]&gt;=CleanData[[#This Row],[Target]],1,0)</f>
        <v>1</v>
      </c>
      <c r="K706">
        <f>IF(CleanData[[#This Row],[Attendance_Status]]="Present",1,0)</f>
        <v>1</v>
      </c>
    </row>
    <row r="707" spans="1:11" x14ac:dyDescent="0.3">
      <c r="A707" t="s">
        <v>218</v>
      </c>
      <c r="B707" t="s">
        <v>50</v>
      </c>
      <c r="C707" t="s">
        <v>9</v>
      </c>
      <c r="D707">
        <v>9</v>
      </c>
      <c r="E707">
        <v>15446</v>
      </c>
      <c r="F707">
        <v>20061</v>
      </c>
      <c r="G707" t="s">
        <v>10</v>
      </c>
      <c r="H707" t="str">
        <f>TEXT(CleanData[[#This Row],[Date]],"mmm")</f>
        <v>Apr</v>
      </c>
      <c r="I707">
        <f>WEEKNUM(CleanData[[#This Row],[Date]])</f>
        <v>15</v>
      </c>
      <c r="J707">
        <f>IF(CleanData[[#This Row],[Revenue]]&gt;=CleanData[[#This Row],[Target]],1,0)</f>
        <v>0</v>
      </c>
      <c r="K707">
        <f>IF(CleanData[[#This Row],[Attendance_Status]]="Present",1,0)</f>
        <v>1</v>
      </c>
    </row>
    <row r="708" spans="1:11" x14ac:dyDescent="0.3">
      <c r="A708" t="s">
        <v>16</v>
      </c>
      <c r="B708" t="s">
        <v>17</v>
      </c>
      <c r="C708" t="s">
        <v>22</v>
      </c>
      <c r="D708">
        <v>9</v>
      </c>
      <c r="E708">
        <v>22420</v>
      </c>
      <c r="F708">
        <v>18826</v>
      </c>
      <c r="G708" t="s">
        <v>10</v>
      </c>
      <c r="H708" t="str">
        <f>TEXT(CleanData[[#This Row],[Date]],"mmm")</f>
        <v>Mar</v>
      </c>
      <c r="I708">
        <f>WEEKNUM(CleanData[[#This Row],[Date]])</f>
        <v>13</v>
      </c>
      <c r="J708">
        <f>IF(CleanData[[#This Row],[Revenue]]&gt;=CleanData[[#This Row],[Target]],1,0)</f>
        <v>1</v>
      </c>
      <c r="K708">
        <f>IF(CleanData[[#This Row],[Attendance_Status]]="Present",1,0)</f>
        <v>1</v>
      </c>
    </row>
    <row r="709" spans="1:11" x14ac:dyDescent="0.3">
      <c r="A709" t="s">
        <v>18</v>
      </c>
      <c r="B709" t="s">
        <v>42</v>
      </c>
      <c r="C709" t="s">
        <v>22</v>
      </c>
      <c r="D709">
        <v>23</v>
      </c>
      <c r="E709">
        <v>5380</v>
      </c>
      <c r="F709">
        <v>12474</v>
      </c>
      <c r="G709" t="s">
        <v>10</v>
      </c>
      <c r="H709" t="str">
        <f>TEXT(CleanData[[#This Row],[Date]],"mmm")</f>
        <v>Apr</v>
      </c>
      <c r="I709">
        <f>WEEKNUM(CleanData[[#This Row],[Date]])</f>
        <v>17</v>
      </c>
      <c r="J709">
        <f>IF(CleanData[[#This Row],[Revenue]]&gt;=CleanData[[#This Row],[Target]],1,0)</f>
        <v>0</v>
      </c>
      <c r="K709">
        <f>IF(CleanData[[#This Row],[Attendance_Status]]="Present",1,0)</f>
        <v>1</v>
      </c>
    </row>
    <row r="710" spans="1:11" x14ac:dyDescent="0.3">
      <c r="A710" t="s">
        <v>207</v>
      </c>
      <c r="B710" t="s">
        <v>64</v>
      </c>
      <c r="C710" t="s">
        <v>22</v>
      </c>
      <c r="D710">
        <v>11</v>
      </c>
      <c r="E710">
        <v>14970</v>
      </c>
      <c r="F710">
        <v>22787</v>
      </c>
      <c r="G710" t="s">
        <v>10</v>
      </c>
      <c r="H710" t="str">
        <f>TEXT(CleanData[[#This Row],[Date]],"mmm")</f>
        <v>Mar</v>
      </c>
      <c r="I710">
        <f>WEEKNUM(CleanData[[#This Row],[Date]])</f>
        <v>12</v>
      </c>
      <c r="J710">
        <f>IF(CleanData[[#This Row],[Revenue]]&gt;=CleanData[[#This Row],[Target]],1,0)</f>
        <v>0</v>
      </c>
      <c r="K710">
        <f>IF(CleanData[[#This Row],[Attendance_Status]]="Present",1,0)</f>
        <v>1</v>
      </c>
    </row>
    <row r="711" spans="1:11" x14ac:dyDescent="0.3">
      <c r="A711" t="s">
        <v>103</v>
      </c>
      <c r="B711" t="s">
        <v>35</v>
      </c>
      <c r="C711" t="s">
        <v>22</v>
      </c>
      <c r="D711">
        <v>16</v>
      </c>
      <c r="E711">
        <v>19096</v>
      </c>
      <c r="F711">
        <v>20726</v>
      </c>
      <c r="G711" t="s">
        <v>10</v>
      </c>
      <c r="H711" t="str">
        <f>TEXT(CleanData[[#This Row],[Date]],"mmm")</f>
        <v>May</v>
      </c>
      <c r="I711">
        <f>WEEKNUM(CleanData[[#This Row],[Date]])</f>
        <v>21</v>
      </c>
      <c r="J711">
        <f>IF(CleanData[[#This Row],[Revenue]]&gt;=CleanData[[#This Row],[Target]],1,0)</f>
        <v>0</v>
      </c>
      <c r="K711">
        <f>IF(CleanData[[#This Row],[Attendance_Status]]="Present",1,0)</f>
        <v>1</v>
      </c>
    </row>
    <row r="712" spans="1:11" x14ac:dyDescent="0.3">
      <c r="A712" t="s">
        <v>106</v>
      </c>
      <c r="B712" t="s">
        <v>79</v>
      </c>
      <c r="C712" t="s">
        <v>13</v>
      </c>
      <c r="D712">
        <v>18</v>
      </c>
      <c r="E712">
        <v>22969</v>
      </c>
      <c r="F712">
        <v>13915</v>
      </c>
      <c r="G712" t="s">
        <v>10</v>
      </c>
      <c r="H712" t="str">
        <f>TEXT(CleanData[[#This Row],[Date]],"mmm")</f>
        <v>Mar</v>
      </c>
      <c r="I712">
        <f>WEEKNUM(CleanData[[#This Row],[Date]])</f>
        <v>13</v>
      </c>
      <c r="J712">
        <f>IF(CleanData[[#This Row],[Revenue]]&gt;=CleanData[[#This Row],[Target]],1,0)</f>
        <v>1</v>
      </c>
      <c r="K712">
        <f>IF(CleanData[[#This Row],[Attendance_Status]]="Present",1,0)</f>
        <v>1</v>
      </c>
    </row>
    <row r="713" spans="1:11" x14ac:dyDescent="0.3">
      <c r="A713" t="s">
        <v>200</v>
      </c>
      <c r="B713" t="s">
        <v>67</v>
      </c>
      <c r="C713" t="s">
        <v>9</v>
      </c>
      <c r="D713">
        <v>23</v>
      </c>
      <c r="E713">
        <v>11341</v>
      </c>
      <c r="F713">
        <v>23908</v>
      </c>
      <c r="G713" t="s">
        <v>10</v>
      </c>
      <c r="H713" t="str">
        <f>TEXT(CleanData[[#This Row],[Date]],"mmm")</f>
        <v>May</v>
      </c>
      <c r="I713">
        <f>WEEKNUM(CleanData[[#This Row],[Date]])</f>
        <v>19</v>
      </c>
      <c r="J713">
        <f>IF(CleanData[[#This Row],[Revenue]]&gt;=CleanData[[#This Row],[Target]],1,0)</f>
        <v>0</v>
      </c>
      <c r="K713">
        <f>IF(CleanData[[#This Row],[Attendance_Status]]="Present",1,0)</f>
        <v>1</v>
      </c>
    </row>
    <row r="714" spans="1:11" x14ac:dyDescent="0.3">
      <c r="A714" t="s">
        <v>176</v>
      </c>
      <c r="B714" t="s">
        <v>54</v>
      </c>
      <c r="C714" t="s">
        <v>22</v>
      </c>
      <c r="D714">
        <v>25</v>
      </c>
      <c r="E714">
        <v>10937</v>
      </c>
      <c r="F714">
        <v>14924</v>
      </c>
      <c r="G714" t="s">
        <v>10</v>
      </c>
      <c r="H714" t="str">
        <f>TEXT(CleanData[[#This Row],[Date]],"mmm")</f>
        <v>Mar</v>
      </c>
      <c r="I714">
        <f>WEEKNUM(CleanData[[#This Row],[Date]])</f>
        <v>13</v>
      </c>
      <c r="J714">
        <f>IF(CleanData[[#This Row],[Revenue]]&gt;=CleanData[[#This Row],[Target]],1,0)</f>
        <v>0</v>
      </c>
      <c r="K714">
        <f>IF(CleanData[[#This Row],[Attendance_Status]]="Present",1,0)</f>
        <v>1</v>
      </c>
    </row>
    <row r="715" spans="1:11" x14ac:dyDescent="0.3">
      <c r="A715" t="s">
        <v>108</v>
      </c>
      <c r="B715" t="s">
        <v>35</v>
      </c>
      <c r="C715" t="s">
        <v>22</v>
      </c>
      <c r="D715">
        <v>17</v>
      </c>
      <c r="E715">
        <v>22739</v>
      </c>
      <c r="F715">
        <v>11095</v>
      </c>
      <c r="G715" t="s">
        <v>10</v>
      </c>
      <c r="H715" t="str">
        <f>TEXT(CleanData[[#This Row],[Date]],"mmm")</f>
        <v>Apr</v>
      </c>
      <c r="I715">
        <f>WEEKNUM(CleanData[[#This Row],[Date]])</f>
        <v>15</v>
      </c>
      <c r="J715">
        <f>IF(CleanData[[#This Row],[Revenue]]&gt;=CleanData[[#This Row],[Target]],1,0)</f>
        <v>1</v>
      </c>
      <c r="K715">
        <f>IF(CleanData[[#This Row],[Attendance_Status]]="Present",1,0)</f>
        <v>1</v>
      </c>
    </row>
    <row r="716" spans="1:11" x14ac:dyDescent="0.3">
      <c r="A716" t="s">
        <v>135</v>
      </c>
      <c r="B716" t="s">
        <v>8</v>
      </c>
      <c r="C716" t="s">
        <v>13</v>
      </c>
      <c r="D716">
        <v>22</v>
      </c>
      <c r="E716">
        <v>8979</v>
      </c>
      <c r="F716">
        <v>14623</v>
      </c>
      <c r="G716" t="s">
        <v>10</v>
      </c>
      <c r="H716" t="str">
        <f>TEXT(CleanData[[#This Row],[Date]],"mmm")</f>
        <v>Feb</v>
      </c>
      <c r="I716">
        <f>WEEKNUM(CleanData[[#This Row],[Date]])</f>
        <v>6</v>
      </c>
      <c r="J716">
        <f>IF(CleanData[[#This Row],[Revenue]]&gt;=CleanData[[#This Row],[Target]],1,0)</f>
        <v>0</v>
      </c>
      <c r="K716">
        <f>IF(CleanData[[#This Row],[Attendance_Status]]="Present",1,0)</f>
        <v>1</v>
      </c>
    </row>
    <row r="717" spans="1:11" x14ac:dyDescent="0.3">
      <c r="A717" t="s">
        <v>220</v>
      </c>
      <c r="B717" t="s">
        <v>12</v>
      </c>
      <c r="C717" t="s">
        <v>22</v>
      </c>
      <c r="D717">
        <v>7</v>
      </c>
      <c r="E717">
        <v>27302</v>
      </c>
      <c r="F717">
        <v>16586</v>
      </c>
      <c r="G717" t="s">
        <v>10</v>
      </c>
      <c r="H717" t="str">
        <f>TEXT(CleanData[[#This Row],[Date]],"mmm")</f>
        <v>Apr</v>
      </c>
      <c r="I717">
        <f>WEEKNUM(CleanData[[#This Row],[Date]])</f>
        <v>18</v>
      </c>
      <c r="J717">
        <f>IF(CleanData[[#This Row],[Revenue]]&gt;=CleanData[[#This Row],[Target]],1,0)</f>
        <v>1</v>
      </c>
      <c r="K717">
        <f>IF(CleanData[[#This Row],[Attendance_Status]]="Present",1,0)</f>
        <v>1</v>
      </c>
    </row>
    <row r="718" spans="1:11" x14ac:dyDescent="0.3">
      <c r="A718" t="s">
        <v>38</v>
      </c>
      <c r="B718" t="s">
        <v>46</v>
      </c>
      <c r="C718" t="s">
        <v>9</v>
      </c>
      <c r="D718">
        <v>7</v>
      </c>
      <c r="E718">
        <v>18621</v>
      </c>
      <c r="F718">
        <v>10691</v>
      </c>
      <c r="G718" t="s">
        <v>26</v>
      </c>
      <c r="H718" t="str">
        <f>TEXT(CleanData[[#This Row],[Date]],"mmm")</f>
        <v>Jan</v>
      </c>
      <c r="I718">
        <f>WEEKNUM(CleanData[[#This Row],[Date]])</f>
        <v>3</v>
      </c>
      <c r="J718">
        <f>IF(CleanData[[#This Row],[Revenue]]&gt;=CleanData[[#This Row],[Target]],1,0)</f>
        <v>1</v>
      </c>
      <c r="K718">
        <f>IF(CleanData[[#This Row],[Attendance_Status]]="Present",1,0)</f>
        <v>0</v>
      </c>
    </row>
    <row r="719" spans="1:11" x14ac:dyDescent="0.3">
      <c r="A719" t="s">
        <v>71</v>
      </c>
      <c r="B719" t="s">
        <v>33</v>
      </c>
      <c r="C719" t="s">
        <v>22</v>
      </c>
      <c r="D719">
        <v>18</v>
      </c>
      <c r="E719">
        <v>9254</v>
      </c>
      <c r="F719">
        <v>12353</v>
      </c>
      <c r="G719" t="s">
        <v>10</v>
      </c>
      <c r="H719" t="str">
        <f>TEXT(CleanData[[#This Row],[Date]],"mmm")</f>
        <v>Apr</v>
      </c>
      <c r="I719">
        <f>WEEKNUM(CleanData[[#This Row],[Date]])</f>
        <v>14</v>
      </c>
      <c r="J719">
        <f>IF(CleanData[[#This Row],[Revenue]]&gt;=CleanData[[#This Row],[Target]],1,0)</f>
        <v>0</v>
      </c>
      <c r="K719">
        <f>IF(CleanData[[#This Row],[Attendance_Status]]="Present",1,0)</f>
        <v>1</v>
      </c>
    </row>
    <row r="720" spans="1:11" x14ac:dyDescent="0.3">
      <c r="A720" t="s">
        <v>58</v>
      </c>
      <c r="B720" t="s">
        <v>101</v>
      </c>
      <c r="C720" t="s">
        <v>22</v>
      </c>
      <c r="D720">
        <v>13</v>
      </c>
      <c r="E720">
        <v>22969</v>
      </c>
      <c r="F720">
        <v>14445</v>
      </c>
      <c r="G720" t="s">
        <v>10</v>
      </c>
      <c r="H720" t="str">
        <f>TEXT(CleanData[[#This Row],[Date]],"mmm")</f>
        <v>May</v>
      </c>
      <c r="I720">
        <f>WEEKNUM(CleanData[[#This Row],[Date]])</f>
        <v>21</v>
      </c>
      <c r="J720">
        <f>IF(CleanData[[#This Row],[Revenue]]&gt;=CleanData[[#This Row],[Target]],1,0)</f>
        <v>1</v>
      </c>
      <c r="K720">
        <f>IF(CleanData[[#This Row],[Attendance_Status]]="Present",1,0)</f>
        <v>1</v>
      </c>
    </row>
    <row r="721" spans="1:11" x14ac:dyDescent="0.3">
      <c r="A721" t="s">
        <v>195</v>
      </c>
      <c r="B721" t="s">
        <v>69</v>
      </c>
      <c r="C721" t="s">
        <v>22</v>
      </c>
      <c r="D721">
        <v>9</v>
      </c>
      <c r="E721">
        <v>19590</v>
      </c>
      <c r="F721">
        <v>12391</v>
      </c>
      <c r="G721" t="s">
        <v>10</v>
      </c>
      <c r="H721" t="str">
        <f>TEXT(CleanData[[#This Row],[Date]],"mmm")</f>
        <v>Feb</v>
      </c>
      <c r="I721">
        <f>WEEKNUM(CleanData[[#This Row],[Date]])</f>
        <v>8</v>
      </c>
      <c r="J721">
        <f>IF(CleanData[[#This Row],[Revenue]]&gt;=CleanData[[#This Row],[Target]],1,0)</f>
        <v>1</v>
      </c>
      <c r="K721">
        <f>IF(CleanData[[#This Row],[Attendance_Status]]="Present",1,0)</f>
        <v>1</v>
      </c>
    </row>
    <row r="722" spans="1:11" x14ac:dyDescent="0.3">
      <c r="A722" t="s">
        <v>93</v>
      </c>
      <c r="B722" t="s">
        <v>75</v>
      </c>
      <c r="C722" t="s">
        <v>9</v>
      </c>
      <c r="D722">
        <v>22</v>
      </c>
      <c r="E722">
        <v>28794</v>
      </c>
      <c r="F722">
        <v>21832</v>
      </c>
      <c r="G722" t="s">
        <v>10</v>
      </c>
      <c r="H722" t="str">
        <f>TEXT(CleanData[[#This Row],[Date]],"mmm")</f>
        <v>Mar</v>
      </c>
      <c r="I722">
        <f>WEEKNUM(CleanData[[#This Row],[Date]])</f>
        <v>12</v>
      </c>
      <c r="J722">
        <f>IF(CleanData[[#This Row],[Revenue]]&gt;=CleanData[[#This Row],[Target]],1,0)</f>
        <v>1</v>
      </c>
      <c r="K722">
        <f>IF(CleanData[[#This Row],[Attendance_Status]]="Present",1,0)</f>
        <v>1</v>
      </c>
    </row>
    <row r="723" spans="1:11" x14ac:dyDescent="0.3">
      <c r="A723" t="s">
        <v>162</v>
      </c>
      <c r="B723" t="s">
        <v>56</v>
      </c>
      <c r="C723" t="s">
        <v>13</v>
      </c>
      <c r="D723">
        <v>16</v>
      </c>
      <c r="E723">
        <v>19213</v>
      </c>
      <c r="F723">
        <v>17169</v>
      </c>
      <c r="G723" t="s">
        <v>10</v>
      </c>
      <c r="H723" t="str">
        <f>TEXT(CleanData[[#This Row],[Date]],"mmm")</f>
        <v>Apr</v>
      </c>
      <c r="I723">
        <f>WEEKNUM(CleanData[[#This Row],[Date]])</f>
        <v>17</v>
      </c>
      <c r="J723">
        <f>IF(CleanData[[#This Row],[Revenue]]&gt;=CleanData[[#This Row],[Target]],1,0)</f>
        <v>1</v>
      </c>
      <c r="K723">
        <f>IF(CleanData[[#This Row],[Attendance_Status]]="Present",1,0)</f>
        <v>1</v>
      </c>
    </row>
    <row r="724" spans="1:11" x14ac:dyDescent="0.3">
      <c r="A724" t="s">
        <v>20</v>
      </c>
      <c r="B724" t="s">
        <v>12</v>
      </c>
      <c r="C724" t="s">
        <v>22</v>
      </c>
      <c r="D724">
        <v>12</v>
      </c>
      <c r="E724">
        <v>29871</v>
      </c>
      <c r="F724">
        <v>21926</v>
      </c>
      <c r="G724" t="s">
        <v>10</v>
      </c>
      <c r="H724" t="str">
        <f>TEXT(CleanData[[#This Row],[Date]],"mmm")</f>
        <v>Feb</v>
      </c>
      <c r="I724">
        <f>WEEKNUM(CleanData[[#This Row],[Date]])</f>
        <v>9</v>
      </c>
      <c r="J724">
        <f>IF(CleanData[[#This Row],[Revenue]]&gt;=CleanData[[#This Row],[Target]],1,0)</f>
        <v>1</v>
      </c>
      <c r="K724">
        <f>IF(CleanData[[#This Row],[Attendance_Status]]="Present",1,0)</f>
        <v>1</v>
      </c>
    </row>
    <row r="725" spans="1:11" x14ac:dyDescent="0.3">
      <c r="A725" t="s">
        <v>121</v>
      </c>
      <c r="B725" t="s">
        <v>29</v>
      </c>
      <c r="C725" t="s">
        <v>22</v>
      </c>
      <c r="D725">
        <v>16</v>
      </c>
      <c r="E725">
        <v>24145</v>
      </c>
      <c r="F725">
        <v>22529</v>
      </c>
      <c r="G725" t="s">
        <v>10</v>
      </c>
      <c r="H725" t="str">
        <f>TEXT(CleanData[[#This Row],[Date]],"mmm")</f>
        <v>Apr</v>
      </c>
      <c r="I725">
        <f>WEEKNUM(CleanData[[#This Row],[Date]])</f>
        <v>16</v>
      </c>
      <c r="J725">
        <f>IF(CleanData[[#This Row],[Revenue]]&gt;=CleanData[[#This Row],[Target]],1,0)</f>
        <v>1</v>
      </c>
      <c r="K725">
        <f>IF(CleanData[[#This Row],[Attendance_Status]]="Present",1,0)</f>
        <v>1</v>
      </c>
    </row>
    <row r="726" spans="1:11" x14ac:dyDescent="0.3">
      <c r="A726" t="s">
        <v>109</v>
      </c>
      <c r="B726" t="s">
        <v>56</v>
      </c>
      <c r="C726" t="s">
        <v>22</v>
      </c>
      <c r="D726">
        <v>25</v>
      </c>
      <c r="E726">
        <v>24215</v>
      </c>
      <c r="F726">
        <v>24466</v>
      </c>
      <c r="G726" t="s">
        <v>10</v>
      </c>
      <c r="H726" t="str">
        <f>TEXT(CleanData[[#This Row],[Date]],"mmm")</f>
        <v>Mar</v>
      </c>
      <c r="I726">
        <f>WEEKNUM(CleanData[[#This Row],[Date]])</f>
        <v>10</v>
      </c>
      <c r="J726">
        <f>IF(CleanData[[#This Row],[Revenue]]&gt;=CleanData[[#This Row],[Target]],1,0)</f>
        <v>0</v>
      </c>
      <c r="K726">
        <f>IF(CleanData[[#This Row],[Attendance_Status]]="Present",1,0)</f>
        <v>1</v>
      </c>
    </row>
    <row r="727" spans="1:11" x14ac:dyDescent="0.3">
      <c r="A727" t="s">
        <v>141</v>
      </c>
      <c r="B727" t="s">
        <v>92</v>
      </c>
      <c r="C727" t="s">
        <v>13</v>
      </c>
      <c r="D727">
        <v>25</v>
      </c>
      <c r="E727">
        <v>9001</v>
      </c>
      <c r="F727">
        <v>14892</v>
      </c>
      <c r="G727" t="s">
        <v>26</v>
      </c>
      <c r="H727" t="str">
        <f>TEXT(CleanData[[#This Row],[Date]],"mmm")</f>
        <v>Feb</v>
      </c>
      <c r="I727">
        <f>WEEKNUM(CleanData[[#This Row],[Date]])</f>
        <v>8</v>
      </c>
      <c r="J727">
        <f>IF(CleanData[[#This Row],[Revenue]]&gt;=CleanData[[#This Row],[Target]],1,0)</f>
        <v>0</v>
      </c>
      <c r="K727">
        <f>IF(CleanData[[#This Row],[Attendance_Status]]="Present",1,0)</f>
        <v>0</v>
      </c>
    </row>
    <row r="728" spans="1:11" x14ac:dyDescent="0.3">
      <c r="A728" t="s">
        <v>111</v>
      </c>
      <c r="B728" t="s">
        <v>17</v>
      </c>
      <c r="C728" t="s">
        <v>13</v>
      </c>
      <c r="D728">
        <v>20</v>
      </c>
      <c r="E728">
        <v>20224</v>
      </c>
      <c r="F728">
        <v>12612</v>
      </c>
      <c r="G728" t="s">
        <v>10</v>
      </c>
      <c r="H728" t="str">
        <f>TEXT(CleanData[[#This Row],[Date]],"mmm")</f>
        <v>Mar</v>
      </c>
      <c r="I728">
        <f>WEEKNUM(CleanData[[#This Row],[Date]])</f>
        <v>11</v>
      </c>
      <c r="J728">
        <f>IF(CleanData[[#This Row],[Revenue]]&gt;=CleanData[[#This Row],[Target]],1,0)</f>
        <v>1</v>
      </c>
      <c r="K728">
        <f>IF(CleanData[[#This Row],[Attendance_Status]]="Present",1,0)</f>
        <v>1</v>
      </c>
    </row>
    <row r="729" spans="1:11" x14ac:dyDescent="0.3">
      <c r="A729" t="s">
        <v>212</v>
      </c>
      <c r="B729" t="s">
        <v>40</v>
      </c>
      <c r="C729" t="s">
        <v>22</v>
      </c>
      <c r="D729">
        <v>22</v>
      </c>
      <c r="E729">
        <v>20697</v>
      </c>
      <c r="F729">
        <v>21125</v>
      </c>
      <c r="G729" t="s">
        <v>10</v>
      </c>
      <c r="H729" t="str">
        <f>TEXT(CleanData[[#This Row],[Date]],"mmm")</f>
        <v>Feb</v>
      </c>
      <c r="I729">
        <f>WEEKNUM(CleanData[[#This Row],[Date]])</f>
        <v>6</v>
      </c>
      <c r="J729">
        <f>IF(CleanData[[#This Row],[Revenue]]&gt;=CleanData[[#This Row],[Target]],1,0)</f>
        <v>0</v>
      </c>
      <c r="K729">
        <f>IF(CleanData[[#This Row],[Attendance_Status]]="Present",1,0)</f>
        <v>1</v>
      </c>
    </row>
    <row r="730" spans="1:11" x14ac:dyDescent="0.3">
      <c r="A730" t="s">
        <v>125</v>
      </c>
      <c r="B730" t="s">
        <v>29</v>
      </c>
      <c r="C730" t="s">
        <v>9</v>
      </c>
      <c r="D730">
        <v>18</v>
      </c>
      <c r="E730">
        <v>21712</v>
      </c>
      <c r="F730">
        <v>24615</v>
      </c>
      <c r="G730" t="s">
        <v>10</v>
      </c>
      <c r="H730" t="str">
        <f>TEXT(CleanData[[#This Row],[Date]],"mmm")</f>
        <v>Jun</v>
      </c>
      <c r="I730">
        <f>WEEKNUM(CleanData[[#This Row],[Date]])</f>
        <v>26</v>
      </c>
      <c r="J730">
        <f>IF(CleanData[[#This Row],[Revenue]]&gt;=CleanData[[#This Row],[Target]],1,0)</f>
        <v>0</v>
      </c>
      <c r="K730">
        <f>IF(CleanData[[#This Row],[Attendance_Status]]="Present",1,0)</f>
        <v>1</v>
      </c>
    </row>
    <row r="731" spans="1:11" x14ac:dyDescent="0.3">
      <c r="A731" t="s">
        <v>77</v>
      </c>
      <c r="B731" t="s">
        <v>75</v>
      </c>
      <c r="C731" t="s">
        <v>9</v>
      </c>
      <c r="D731">
        <v>14</v>
      </c>
      <c r="E731">
        <v>20679</v>
      </c>
      <c r="F731">
        <v>10359</v>
      </c>
      <c r="G731" t="s">
        <v>10</v>
      </c>
      <c r="H731" t="str">
        <f>TEXT(CleanData[[#This Row],[Date]],"mmm")</f>
        <v>Jun</v>
      </c>
      <c r="I731">
        <f>WEEKNUM(CleanData[[#This Row],[Date]])</f>
        <v>24</v>
      </c>
      <c r="J731">
        <f>IF(CleanData[[#This Row],[Revenue]]&gt;=CleanData[[#This Row],[Target]],1,0)</f>
        <v>1</v>
      </c>
      <c r="K731">
        <f>IF(CleanData[[#This Row],[Attendance_Status]]="Present",1,0)</f>
        <v>1</v>
      </c>
    </row>
    <row r="732" spans="1:11" x14ac:dyDescent="0.3">
      <c r="A732" t="s">
        <v>30</v>
      </c>
      <c r="B732" t="s">
        <v>42</v>
      </c>
      <c r="C732" t="s">
        <v>9</v>
      </c>
      <c r="D732">
        <v>23</v>
      </c>
      <c r="E732">
        <v>24814</v>
      </c>
      <c r="F732">
        <v>16839</v>
      </c>
      <c r="G732" t="s">
        <v>10</v>
      </c>
      <c r="H732" t="str">
        <f>TEXT(CleanData[[#This Row],[Date]],"mmm")</f>
        <v>Mar</v>
      </c>
      <c r="I732">
        <f>WEEKNUM(CleanData[[#This Row],[Date]])</f>
        <v>11</v>
      </c>
      <c r="J732">
        <f>IF(CleanData[[#This Row],[Revenue]]&gt;=CleanData[[#This Row],[Target]],1,0)</f>
        <v>1</v>
      </c>
      <c r="K732">
        <f>IF(CleanData[[#This Row],[Attendance_Status]]="Present",1,0)</f>
        <v>1</v>
      </c>
    </row>
    <row r="733" spans="1:11" x14ac:dyDescent="0.3">
      <c r="A733" t="s">
        <v>151</v>
      </c>
      <c r="B733" t="s">
        <v>15</v>
      </c>
      <c r="C733" t="s">
        <v>22</v>
      </c>
      <c r="D733">
        <v>14</v>
      </c>
      <c r="E733">
        <v>17516</v>
      </c>
      <c r="F733">
        <v>15819</v>
      </c>
      <c r="G733" t="s">
        <v>10</v>
      </c>
      <c r="H733" t="str">
        <f>TEXT(CleanData[[#This Row],[Date]],"mmm")</f>
        <v>Jan</v>
      </c>
      <c r="I733">
        <f>WEEKNUM(CleanData[[#This Row],[Date]])</f>
        <v>5</v>
      </c>
      <c r="J733">
        <f>IF(CleanData[[#This Row],[Revenue]]&gt;=CleanData[[#This Row],[Target]],1,0)</f>
        <v>1</v>
      </c>
      <c r="K733">
        <f>IF(CleanData[[#This Row],[Attendance_Status]]="Present",1,0)</f>
        <v>1</v>
      </c>
    </row>
    <row r="734" spans="1:11" x14ac:dyDescent="0.3">
      <c r="A734" t="s">
        <v>112</v>
      </c>
      <c r="B734" t="s">
        <v>27</v>
      </c>
      <c r="C734" t="s">
        <v>13</v>
      </c>
      <c r="D734">
        <v>18</v>
      </c>
      <c r="E734">
        <v>25817</v>
      </c>
      <c r="F734">
        <v>16224</v>
      </c>
      <c r="G734" t="s">
        <v>10</v>
      </c>
      <c r="H734" t="str">
        <f>TEXT(CleanData[[#This Row],[Date]],"mmm")</f>
        <v>Apr</v>
      </c>
      <c r="I734">
        <f>WEEKNUM(CleanData[[#This Row],[Date]])</f>
        <v>14</v>
      </c>
      <c r="J734">
        <f>IF(CleanData[[#This Row],[Revenue]]&gt;=CleanData[[#This Row],[Target]],1,0)</f>
        <v>1</v>
      </c>
      <c r="K734">
        <f>IF(CleanData[[#This Row],[Attendance_Status]]="Present",1,0)</f>
        <v>1</v>
      </c>
    </row>
    <row r="735" spans="1:11" x14ac:dyDescent="0.3">
      <c r="A735" t="s">
        <v>138</v>
      </c>
      <c r="B735" t="s">
        <v>75</v>
      </c>
      <c r="C735" t="s">
        <v>13</v>
      </c>
      <c r="D735">
        <v>24</v>
      </c>
      <c r="E735">
        <v>9831</v>
      </c>
      <c r="F735">
        <v>23791</v>
      </c>
      <c r="G735" t="s">
        <v>10</v>
      </c>
      <c r="H735" t="str">
        <f>TEXT(CleanData[[#This Row],[Date]],"mmm")</f>
        <v>Apr</v>
      </c>
      <c r="I735">
        <f>WEEKNUM(CleanData[[#This Row],[Date]])</f>
        <v>14</v>
      </c>
      <c r="J735">
        <f>IF(CleanData[[#This Row],[Revenue]]&gt;=CleanData[[#This Row],[Target]],1,0)</f>
        <v>0</v>
      </c>
      <c r="K735">
        <f>IF(CleanData[[#This Row],[Attendance_Status]]="Present",1,0)</f>
        <v>1</v>
      </c>
    </row>
    <row r="736" spans="1:11" x14ac:dyDescent="0.3">
      <c r="A736" t="s">
        <v>159</v>
      </c>
      <c r="B736" t="s">
        <v>8</v>
      </c>
      <c r="C736" t="s">
        <v>9</v>
      </c>
      <c r="D736">
        <v>21</v>
      </c>
      <c r="E736">
        <v>9940</v>
      </c>
      <c r="F736">
        <v>24972</v>
      </c>
      <c r="G736" t="s">
        <v>26</v>
      </c>
      <c r="H736" t="str">
        <f>TEXT(CleanData[[#This Row],[Date]],"mmm")</f>
        <v>May</v>
      </c>
      <c r="I736">
        <f>WEEKNUM(CleanData[[#This Row],[Date]])</f>
        <v>18</v>
      </c>
      <c r="J736">
        <f>IF(CleanData[[#This Row],[Revenue]]&gt;=CleanData[[#This Row],[Target]],1,0)</f>
        <v>0</v>
      </c>
      <c r="K736">
        <f>IF(CleanData[[#This Row],[Attendance_Status]]="Present",1,0)</f>
        <v>0</v>
      </c>
    </row>
    <row r="737" spans="1:11" x14ac:dyDescent="0.3">
      <c r="A737" t="s">
        <v>65</v>
      </c>
      <c r="B737" t="s">
        <v>54</v>
      </c>
      <c r="C737" t="s">
        <v>22</v>
      </c>
      <c r="D737">
        <v>8</v>
      </c>
      <c r="E737">
        <v>10897</v>
      </c>
      <c r="F737">
        <v>17156</v>
      </c>
      <c r="G737" t="s">
        <v>10</v>
      </c>
      <c r="H737" t="str">
        <f>TEXT(CleanData[[#This Row],[Date]],"mmm")</f>
        <v>Apr</v>
      </c>
      <c r="I737">
        <f>WEEKNUM(CleanData[[#This Row],[Date]])</f>
        <v>14</v>
      </c>
      <c r="J737">
        <f>IF(CleanData[[#This Row],[Revenue]]&gt;=CleanData[[#This Row],[Target]],1,0)</f>
        <v>0</v>
      </c>
      <c r="K737">
        <f>IF(CleanData[[#This Row],[Attendance_Status]]="Present",1,0)</f>
        <v>1</v>
      </c>
    </row>
    <row r="738" spans="1:11" x14ac:dyDescent="0.3">
      <c r="A738" t="s">
        <v>53</v>
      </c>
      <c r="B738" t="s">
        <v>56</v>
      </c>
      <c r="C738" t="s">
        <v>9</v>
      </c>
      <c r="D738">
        <v>10</v>
      </c>
      <c r="E738">
        <v>21279</v>
      </c>
      <c r="F738">
        <v>17752</v>
      </c>
      <c r="G738" t="s">
        <v>10</v>
      </c>
      <c r="H738" t="str">
        <f>TEXT(CleanData[[#This Row],[Date]],"mmm")</f>
        <v>Jan</v>
      </c>
      <c r="I738">
        <f>WEEKNUM(CleanData[[#This Row],[Date]])</f>
        <v>1</v>
      </c>
      <c r="J738">
        <f>IF(CleanData[[#This Row],[Revenue]]&gt;=CleanData[[#This Row],[Target]],1,0)</f>
        <v>1</v>
      </c>
      <c r="K738">
        <f>IF(CleanData[[#This Row],[Attendance_Status]]="Present",1,0)</f>
        <v>1</v>
      </c>
    </row>
    <row r="739" spans="1:11" x14ac:dyDescent="0.3">
      <c r="A739" t="s">
        <v>99</v>
      </c>
      <c r="B739" t="s">
        <v>19</v>
      </c>
      <c r="C739" t="s">
        <v>13</v>
      </c>
      <c r="D739">
        <v>12</v>
      </c>
      <c r="E739">
        <v>11791</v>
      </c>
      <c r="F739">
        <v>14410</v>
      </c>
      <c r="G739" t="s">
        <v>10</v>
      </c>
      <c r="H739" t="str">
        <f>TEXT(CleanData[[#This Row],[Date]],"mmm")</f>
        <v>May</v>
      </c>
      <c r="I739">
        <f>WEEKNUM(CleanData[[#This Row],[Date]])</f>
        <v>22</v>
      </c>
      <c r="J739">
        <f>IF(CleanData[[#This Row],[Revenue]]&gt;=CleanData[[#This Row],[Target]],1,0)</f>
        <v>0</v>
      </c>
      <c r="K739">
        <f>IF(CleanData[[#This Row],[Attendance_Status]]="Present",1,0)</f>
        <v>1</v>
      </c>
    </row>
    <row r="740" spans="1:11" x14ac:dyDescent="0.3">
      <c r="A740" t="s">
        <v>207</v>
      </c>
      <c r="B740" t="s">
        <v>31</v>
      </c>
      <c r="C740" t="s">
        <v>13</v>
      </c>
      <c r="D740">
        <v>20</v>
      </c>
      <c r="E740">
        <v>26244</v>
      </c>
      <c r="F740">
        <v>19986</v>
      </c>
      <c r="G740" t="s">
        <v>10</v>
      </c>
      <c r="H740" t="str">
        <f>TEXT(CleanData[[#This Row],[Date]],"mmm")</f>
        <v>Mar</v>
      </c>
      <c r="I740">
        <f>WEEKNUM(CleanData[[#This Row],[Date]])</f>
        <v>12</v>
      </c>
      <c r="J740">
        <f>IF(CleanData[[#This Row],[Revenue]]&gt;=CleanData[[#This Row],[Target]],1,0)</f>
        <v>1</v>
      </c>
      <c r="K740">
        <f>IF(CleanData[[#This Row],[Attendance_Status]]="Present",1,0)</f>
        <v>1</v>
      </c>
    </row>
    <row r="741" spans="1:11" x14ac:dyDescent="0.3">
      <c r="A741" t="s">
        <v>99</v>
      </c>
      <c r="B741" t="s">
        <v>8</v>
      </c>
      <c r="C741" t="s">
        <v>9</v>
      </c>
      <c r="D741">
        <v>5</v>
      </c>
      <c r="E741">
        <v>23075</v>
      </c>
      <c r="F741">
        <v>17322</v>
      </c>
      <c r="G741" t="s">
        <v>10</v>
      </c>
      <c r="H741" t="str">
        <f>TEXT(CleanData[[#This Row],[Date]],"mmm")</f>
        <v>May</v>
      </c>
      <c r="I741">
        <f>WEEKNUM(CleanData[[#This Row],[Date]])</f>
        <v>22</v>
      </c>
      <c r="J741">
        <f>IF(CleanData[[#This Row],[Revenue]]&gt;=CleanData[[#This Row],[Target]],1,0)</f>
        <v>1</v>
      </c>
      <c r="K741">
        <f>IF(CleanData[[#This Row],[Attendance_Status]]="Present",1,0)</f>
        <v>1</v>
      </c>
    </row>
    <row r="742" spans="1:11" x14ac:dyDescent="0.3">
      <c r="A742" t="s">
        <v>214</v>
      </c>
      <c r="B742" t="s">
        <v>31</v>
      </c>
      <c r="C742" t="s">
        <v>13</v>
      </c>
      <c r="D742">
        <v>19</v>
      </c>
      <c r="E742">
        <v>6847</v>
      </c>
      <c r="F742">
        <v>15126</v>
      </c>
      <c r="G742" t="s">
        <v>10</v>
      </c>
      <c r="H742" t="str">
        <f>TEXT(CleanData[[#This Row],[Date]],"mmm")</f>
        <v>Jun</v>
      </c>
      <c r="I742">
        <f>WEEKNUM(CleanData[[#This Row],[Date]])</f>
        <v>25</v>
      </c>
      <c r="J742">
        <f>IF(CleanData[[#This Row],[Revenue]]&gt;=CleanData[[#This Row],[Target]],1,0)</f>
        <v>0</v>
      </c>
      <c r="K742">
        <f>IF(CleanData[[#This Row],[Attendance_Status]]="Present",1,0)</f>
        <v>1</v>
      </c>
    </row>
    <row r="743" spans="1:11" x14ac:dyDescent="0.3">
      <c r="A743" t="s">
        <v>86</v>
      </c>
      <c r="B743" t="s">
        <v>21</v>
      </c>
      <c r="C743" t="s">
        <v>13</v>
      </c>
      <c r="D743">
        <v>20</v>
      </c>
      <c r="E743">
        <v>11564</v>
      </c>
      <c r="F743">
        <v>22321</v>
      </c>
      <c r="G743" t="s">
        <v>10</v>
      </c>
      <c r="H743" t="str">
        <f>TEXT(CleanData[[#This Row],[Date]],"mmm")</f>
        <v>Apr</v>
      </c>
      <c r="I743">
        <f>WEEKNUM(CleanData[[#This Row],[Date]])</f>
        <v>16</v>
      </c>
      <c r="J743">
        <f>IF(CleanData[[#This Row],[Revenue]]&gt;=CleanData[[#This Row],[Target]],1,0)</f>
        <v>0</v>
      </c>
      <c r="K743">
        <f>IF(CleanData[[#This Row],[Attendance_Status]]="Present",1,0)</f>
        <v>1</v>
      </c>
    </row>
    <row r="744" spans="1:11" x14ac:dyDescent="0.3">
      <c r="A744" t="s">
        <v>90</v>
      </c>
      <c r="B744" t="s">
        <v>52</v>
      </c>
      <c r="C744" t="s">
        <v>9</v>
      </c>
      <c r="D744">
        <v>20</v>
      </c>
      <c r="E744">
        <v>23540</v>
      </c>
      <c r="F744">
        <v>19917</v>
      </c>
      <c r="G744" t="s">
        <v>10</v>
      </c>
      <c r="H744" t="str">
        <f>TEXT(CleanData[[#This Row],[Date]],"mmm")</f>
        <v>May</v>
      </c>
      <c r="I744">
        <f>WEEKNUM(CleanData[[#This Row],[Date]])</f>
        <v>19</v>
      </c>
      <c r="J744">
        <f>IF(CleanData[[#This Row],[Revenue]]&gt;=CleanData[[#This Row],[Target]],1,0)</f>
        <v>1</v>
      </c>
      <c r="K744">
        <f>IF(CleanData[[#This Row],[Attendance_Status]]="Present",1,0)</f>
        <v>1</v>
      </c>
    </row>
    <row r="745" spans="1:11" x14ac:dyDescent="0.3">
      <c r="A745" t="s">
        <v>71</v>
      </c>
      <c r="B745" t="s">
        <v>35</v>
      </c>
      <c r="C745" t="s">
        <v>9</v>
      </c>
      <c r="D745">
        <v>18</v>
      </c>
      <c r="E745">
        <v>11979</v>
      </c>
      <c r="F745">
        <v>12683</v>
      </c>
      <c r="G745" t="s">
        <v>10</v>
      </c>
      <c r="H745" t="str">
        <f>TEXT(CleanData[[#This Row],[Date]],"mmm")</f>
        <v>Apr</v>
      </c>
      <c r="I745">
        <f>WEEKNUM(CleanData[[#This Row],[Date]])</f>
        <v>14</v>
      </c>
      <c r="J745">
        <f>IF(CleanData[[#This Row],[Revenue]]&gt;=CleanData[[#This Row],[Target]],1,0)</f>
        <v>0</v>
      </c>
      <c r="K745">
        <f>IF(CleanData[[#This Row],[Attendance_Status]]="Present",1,0)</f>
        <v>1</v>
      </c>
    </row>
    <row r="746" spans="1:11" x14ac:dyDescent="0.3">
      <c r="A746" t="s">
        <v>144</v>
      </c>
      <c r="B746" t="s">
        <v>48</v>
      </c>
      <c r="C746" t="s">
        <v>9</v>
      </c>
      <c r="D746">
        <v>14</v>
      </c>
      <c r="E746">
        <v>15011</v>
      </c>
      <c r="F746">
        <v>21965</v>
      </c>
      <c r="G746" t="s">
        <v>10</v>
      </c>
      <c r="H746" t="str">
        <f>TEXT(CleanData[[#This Row],[Date]],"mmm")</f>
        <v>Jan</v>
      </c>
      <c r="I746">
        <f>WEEKNUM(CleanData[[#This Row],[Date]])</f>
        <v>1</v>
      </c>
      <c r="J746">
        <f>IF(CleanData[[#This Row],[Revenue]]&gt;=CleanData[[#This Row],[Target]],1,0)</f>
        <v>0</v>
      </c>
      <c r="K746">
        <f>IF(CleanData[[#This Row],[Attendance_Status]]="Present",1,0)</f>
        <v>1</v>
      </c>
    </row>
    <row r="747" spans="1:11" x14ac:dyDescent="0.3">
      <c r="A747" t="s">
        <v>116</v>
      </c>
      <c r="B747" t="s">
        <v>21</v>
      </c>
      <c r="C747" t="s">
        <v>22</v>
      </c>
      <c r="D747">
        <v>6</v>
      </c>
      <c r="E747">
        <v>27587</v>
      </c>
      <c r="F747">
        <v>19292</v>
      </c>
      <c r="G747" t="s">
        <v>10</v>
      </c>
      <c r="H747" t="str">
        <f>TEXT(CleanData[[#This Row],[Date]],"mmm")</f>
        <v>Jun</v>
      </c>
      <c r="I747">
        <f>WEEKNUM(CleanData[[#This Row],[Date]])</f>
        <v>22</v>
      </c>
      <c r="J747">
        <f>IF(CleanData[[#This Row],[Revenue]]&gt;=CleanData[[#This Row],[Target]],1,0)</f>
        <v>1</v>
      </c>
      <c r="K747">
        <f>IF(CleanData[[#This Row],[Attendance_Status]]="Present",1,0)</f>
        <v>1</v>
      </c>
    </row>
    <row r="748" spans="1:11" x14ac:dyDescent="0.3">
      <c r="A748" t="s">
        <v>110</v>
      </c>
      <c r="B748" t="s">
        <v>120</v>
      </c>
      <c r="C748" t="s">
        <v>22</v>
      </c>
      <c r="D748">
        <v>22</v>
      </c>
      <c r="E748">
        <v>24320</v>
      </c>
      <c r="F748">
        <v>21281</v>
      </c>
      <c r="G748" t="s">
        <v>10</v>
      </c>
      <c r="H748" t="str">
        <f>TEXT(CleanData[[#This Row],[Date]],"mmm")</f>
        <v>Apr</v>
      </c>
      <c r="I748">
        <f>WEEKNUM(CleanData[[#This Row],[Date]])</f>
        <v>15</v>
      </c>
      <c r="J748">
        <f>IF(CleanData[[#This Row],[Revenue]]&gt;=CleanData[[#This Row],[Target]],1,0)</f>
        <v>1</v>
      </c>
      <c r="K748">
        <f>IF(CleanData[[#This Row],[Attendance_Status]]="Present",1,0)</f>
        <v>1</v>
      </c>
    </row>
    <row r="749" spans="1:11" x14ac:dyDescent="0.3">
      <c r="A749" t="s">
        <v>220</v>
      </c>
      <c r="B749" t="s">
        <v>40</v>
      </c>
      <c r="C749" t="s">
        <v>9</v>
      </c>
      <c r="D749">
        <v>13</v>
      </c>
      <c r="E749">
        <v>18131</v>
      </c>
      <c r="F749">
        <v>11936</v>
      </c>
      <c r="G749" t="s">
        <v>10</v>
      </c>
      <c r="H749" t="str">
        <f>TEXT(CleanData[[#This Row],[Date]],"mmm")</f>
        <v>Apr</v>
      </c>
      <c r="I749">
        <f>WEEKNUM(CleanData[[#This Row],[Date]])</f>
        <v>18</v>
      </c>
      <c r="J749">
        <f>IF(CleanData[[#This Row],[Revenue]]&gt;=CleanData[[#This Row],[Target]],1,0)</f>
        <v>1</v>
      </c>
      <c r="K749">
        <f>IF(CleanData[[#This Row],[Attendance_Status]]="Present",1,0)</f>
        <v>1</v>
      </c>
    </row>
    <row r="750" spans="1:11" x14ac:dyDescent="0.3">
      <c r="A750" t="s">
        <v>199</v>
      </c>
      <c r="B750" t="s">
        <v>12</v>
      </c>
      <c r="C750" t="s">
        <v>22</v>
      </c>
      <c r="D750">
        <v>7</v>
      </c>
      <c r="E750">
        <v>14989</v>
      </c>
      <c r="F750">
        <v>24349</v>
      </c>
      <c r="G750" t="s">
        <v>10</v>
      </c>
      <c r="H750" t="str">
        <f>TEXT(CleanData[[#This Row],[Date]],"mmm")</f>
        <v>Mar</v>
      </c>
      <c r="I750">
        <f>WEEKNUM(CleanData[[#This Row],[Date]])</f>
        <v>11</v>
      </c>
      <c r="J750">
        <f>IF(CleanData[[#This Row],[Revenue]]&gt;=CleanData[[#This Row],[Target]],1,0)</f>
        <v>0</v>
      </c>
      <c r="K750">
        <f>IF(CleanData[[#This Row],[Attendance_Status]]="Present",1,0)</f>
        <v>1</v>
      </c>
    </row>
    <row r="751" spans="1:11" x14ac:dyDescent="0.3">
      <c r="A751" t="s">
        <v>203</v>
      </c>
      <c r="B751" t="s">
        <v>17</v>
      </c>
      <c r="C751" t="s">
        <v>13</v>
      </c>
      <c r="D751">
        <v>18</v>
      </c>
      <c r="E751">
        <v>5788</v>
      </c>
      <c r="F751">
        <v>13752</v>
      </c>
      <c r="G751" t="s">
        <v>10</v>
      </c>
      <c r="H751" t="str">
        <f>TEXT(CleanData[[#This Row],[Date]],"mmm")</f>
        <v>Jan</v>
      </c>
      <c r="I751">
        <f>WEEKNUM(CleanData[[#This Row],[Date]])</f>
        <v>3</v>
      </c>
      <c r="J751">
        <f>IF(CleanData[[#This Row],[Revenue]]&gt;=CleanData[[#This Row],[Target]],1,0)</f>
        <v>0</v>
      </c>
      <c r="K751">
        <f>IF(CleanData[[#This Row],[Attendance_Status]]="Present",1,0)</f>
        <v>1</v>
      </c>
    </row>
    <row r="752" spans="1:11" x14ac:dyDescent="0.3">
      <c r="A752" t="s">
        <v>83</v>
      </c>
      <c r="B752" t="s">
        <v>46</v>
      </c>
      <c r="C752" t="s">
        <v>13</v>
      </c>
      <c r="D752">
        <v>5</v>
      </c>
      <c r="E752">
        <v>14616</v>
      </c>
      <c r="F752">
        <v>18248</v>
      </c>
      <c r="G752" t="s">
        <v>10</v>
      </c>
      <c r="H752" t="str">
        <f>TEXT(CleanData[[#This Row],[Date]],"mmm")</f>
        <v>Mar</v>
      </c>
      <c r="I752">
        <f>WEEKNUM(CleanData[[#This Row],[Date]])</f>
        <v>10</v>
      </c>
      <c r="J752">
        <f>IF(CleanData[[#This Row],[Revenue]]&gt;=CleanData[[#This Row],[Target]],1,0)</f>
        <v>0</v>
      </c>
      <c r="K752">
        <f>IF(CleanData[[#This Row],[Attendance_Status]]="Present",1,0)</f>
        <v>1</v>
      </c>
    </row>
    <row r="753" spans="1:11" x14ac:dyDescent="0.3">
      <c r="A753" t="s">
        <v>158</v>
      </c>
      <c r="B753" t="s">
        <v>19</v>
      </c>
      <c r="C753" t="s">
        <v>22</v>
      </c>
      <c r="D753">
        <v>14</v>
      </c>
      <c r="E753">
        <v>18008</v>
      </c>
      <c r="F753">
        <v>11075</v>
      </c>
      <c r="G753" t="s">
        <v>10</v>
      </c>
      <c r="H753" t="str">
        <f>TEXT(CleanData[[#This Row],[Date]],"mmm")</f>
        <v>Jun</v>
      </c>
      <c r="I753">
        <f>WEEKNUM(CleanData[[#This Row],[Date]])</f>
        <v>24</v>
      </c>
      <c r="J753">
        <f>IF(CleanData[[#This Row],[Revenue]]&gt;=CleanData[[#This Row],[Target]],1,0)</f>
        <v>1</v>
      </c>
      <c r="K753">
        <f>IF(CleanData[[#This Row],[Attendance_Status]]="Present",1,0)</f>
        <v>1</v>
      </c>
    </row>
    <row r="754" spans="1:11" x14ac:dyDescent="0.3">
      <c r="A754" t="s">
        <v>141</v>
      </c>
      <c r="B754" t="s">
        <v>35</v>
      </c>
      <c r="C754" t="s">
        <v>22</v>
      </c>
      <c r="D754">
        <v>25</v>
      </c>
      <c r="E754">
        <v>28733</v>
      </c>
      <c r="F754">
        <v>17720</v>
      </c>
      <c r="G754" t="s">
        <v>10</v>
      </c>
      <c r="H754" t="str">
        <f>TEXT(CleanData[[#This Row],[Date]],"mmm")</f>
        <v>Feb</v>
      </c>
      <c r="I754">
        <f>WEEKNUM(CleanData[[#This Row],[Date]])</f>
        <v>8</v>
      </c>
      <c r="J754">
        <f>IF(CleanData[[#This Row],[Revenue]]&gt;=CleanData[[#This Row],[Target]],1,0)</f>
        <v>1</v>
      </c>
      <c r="K754">
        <f>IF(CleanData[[#This Row],[Attendance_Status]]="Present",1,0)</f>
        <v>1</v>
      </c>
    </row>
    <row r="755" spans="1:11" x14ac:dyDescent="0.3">
      <c r="A755" t="s">
        <v>221</v>
      </c>
      <c r="B755" t="s">
        <v>15</v>
      </c>
      <c r="C755" t="s">
        <v>13</v>
      </c>
      <c r="D755">
        <v>11</v>
      </c>
      <c r="E755">
        <v>22500</v>
      </c>
      <c r="F755">
        <v>10793</v>
      </c>
      <c r="G755" t="s">
        <v>10</v>
      </c>
      <c r="H755" t="str">
        <f>TEXT(CleanData[[#This Row],[Date]],"mmm")</f>
        <v>May</v>
      </c>
      <c r="I755">
        <f>WEEKNUM(CleanData[[#This Row],[Date]])</f>
        <v>20</v>
      </c>
      <c r="J755">
        <f>IF(CleanData[[#This Row],[Revenue]]&gt;=CleanData[[#This Row],[Target]],1,0)</f>
        <v>1</v>
      </c>
      <c r="K755">
        <f>IF(CleanData[[#This Row],[Attendance_Status]]="Present",1,0)</f>
        <v>1</v>
      </c>
    </row>
    <row r="756" spans="1:11" x14ac:dyDescent="0.3">
      <c r="A756" t="s">
        <v>197</v>
      </c>
      <c r="B756" t="s">
        <v>27</v>
      </c>
      <c r="C756" t="s">
        <v>22</v>
      </c>
      <c r="D756">
        <v>5</v>
      </c>
      <c r="E756">
        <v>8017</v>
      </c>
      <c r="F756">
        <v>24291</v>
      </c>
      <c r="G756" t="s">
        <v>10</v>
      </c>
      <c r="H756" t="str">
        <f>TEXT(CleanData[[#This Row],[Date]],"mmm")</f>
        <v>May</v>
      </c>
      <c r="I756">
        <f>WEEKNUM(CleanData[[#This Row],[Date]])</f>
        <v>21</v>
      </c>
      <c r="J756">
        <f>IF(CleanData[[#This Row],[Revenue]]&gt;=CleanData[[#This Row],[Target]],1,0)</f>
        <v>0</v>
      </c>
      <c r="K756">
        <f>IF(CleanData[[#This Row],[Attendance_Status]]="Present",1,0)</f>
        <v>1</v>
      </c>
    </row>
    <row r="757" spans="1:11" x14ac:dyDescent="0.3">
      <c r="A757" t="s">
        <v>174</v>
      </c>
      <c r="B757" t="s">
        <v>29</v>
      </c>
      <c r="C757" t="s">
        <v>9</v>
      </c>
      <c r="D757">
        <v>25</v>
      </c>
      <c r="E757">
        <v>14662</v>
      </c>
      <c r="F757">
        <v>13439</v>
      </c>
      <c r="G757" t="s">
        <v>10</v>
      </c>
      <c r="H757" t="str">
        <f>TEXT(CleanData[[#This Row],[Date]],"mmm")</f>
        <v>Mar</v>
      </c>
      <c r="I757">
        <f>WEEKNUM(CleanData[[#This Row],[Date]])</f>
        <v>9</v>
      </c>
      <c r="J757">
        <f>IF(CleanData[[#This Row],[Revenue]]&gt;=CleanData[[#This Row],[Target]],1,0)</f>
        <v>1</v>
      </c>
      <c r="K757">
        <f>IF(CleanData[[#This Row],[Attendance_Status]]="Present",1,0)</f>
        <v>1</v>
      </c>
    </row>
    <row r="758" spans="1:11" x14ac:dyDescent="0.3">
      <c r="A758" t="s">
        <v>41</v>
      </c>
      <c r="B758" t="s">
        <v>56</v>
      </c>
      <c r="C758" t="s">
        <v>13</v>
      </c>
      <c r="D758">
        <v>20</v>
      </c>
      <c r="E758">
        <v>26548</v>
      </c>
      <c r="F758">
        <v>16843</v>
      </c>
      <c r="G758" t="s">
        <v>10</v>
      </c>
      <c r="H758" t="str">
        <f>TEXT(CleanData[[#This Row],[Date]],"mmm")</f>
        <v>Jun</v>
      </c>
      <c r="I758">
        <f>WEEKNUM(CleanData[[#This Row],[Date]])</f>
        <v>26</v>
      </c>
      <c r="J758">
        <f>IF(CleanData[[#This Row],[Revenue]]&gt;=CleanData[[#This Row],[Target]],1,0)</f>
        <v>1</v>
      </c>
      <c r="K758">
        <f>IF(CleanData[[#This Row],[Attendance_Status]]="Present",1,0)</f>
        <v>1</v>
      </c>
    </row>
    <row r="759" spans="1:11" x14ac:dyDescent="0.3">
      <c r="A759" t="s">
        <v>188</v>
      </c>
      <c r="B759" t="s">
        <v>69</v>
      </c>
      <c r="C759" t="s">
        <v>22</v>
      </c>
      <c r="D759">
        <v>7</v>
      </c>
      <c r="E759">
        <v>19000</v>
      </c>
      <c r="F759">
        <v>16202</v>
      </c>
      <c r="G759" t="s">
        <v>10</v>
      </c>
      <c r="H759" t="str">
        <f>TEXT(CleanData[[#This Row],[Date]],"mmm")</f>
        <v>May</v>
      </c>
      <c r="I759">
        <f>WEEKNUM(CleanData[[#This Row],[Date]])</f>
        <v>19</v>
      </c>
      <c r="J759">
        <f>IF(CleanData[[#This Row],[Revenue]]&gt;=CleanData[[#This Row],[Target]],1,0)</f>
        <v>1</v>
      </c>
      <c r="K759">
        <f>IF(CleanData[[#This Row],[Attendance_Status]]="Present",1,0)</f>
        <v>1</v>
      </c>
    </row>
    <row r="760" spans="1:11" x14ac:dyDescent="0.3">
      <c r="A760" t="s">
        <v>11</v>
      </c>
      <c r="B760" t="s">
        <v>12</v>
      </c>
      <c r="C760" t="s">
        <v>9</v>
      </c>
      <c r="D760">
        <v>18</v>
      </c>
      <c r="E760">
        <v>5350</v>
      </c>
      <c r="F760">
        <v>18035</v>
      </c>
      <c r="G760" t="s">
        <v>10</v>
      </c>
      <c r="H760" t="str">
        <f>TEXT(CleanData[[#This Row],[Date]],"mmm")</f>
        <v>Jun</v>
      </c>
      <c r="I760">
        <f>WEEKNUM(CleanData[[#This Row],[Date]])</f>
        <v>23</v>
      </c>
      <c r="J760">
        <f>IF(CleanData[[#This Row],[Revenue]]&gt;=CleanData[[#This Row],[Target]],1,0)</f>
        <v>0</v>
      </c>
      <c r="K760">
        <f>IF(CleanData[[#This Row],[Attendance_Status]]="Present",1,0)</f>
        <v>1</v>
      </c>
    </row>
    <row r="761" spans="1:11" x14ac:dyDescent="0.3">
      <c r="A761" t="s">
        <v>97</v>
      </c>
      <c r="B761" t="s">
        <v>17</v>
      </c>
      <c r="C761" t="s">
        <v>13</v>
      </c>
      <c r="D761">
        <v>6</v>
      </c>
      <c r="E761">
        <v>15837</v>
      </c>
      <c r="F761">
        <v>11661</v>
      </c>
      <c r="G761" t="s">
        <v>10</v>
      </c>
      <c r="H761" t="str">
        <f>TEXT(CleanData[[#This Row],[Date]],"mmm")</f>
        <v>Mar</v>
      </c>
      <c r="I761">
        <f>WEEKNUM(CleanData[[#This Row],[Date]])</f>
        <v>11</v>
      </c>
      <c r="J761">
        <f>IF(CleanData[[#This Row],[Revenue]]&gt;=CleanData[[#This Row],[Target]],1,0)</f>
        <v>1</v>
      </c>
      <c r="K761">
        <f>IF(CleanData[[#This Row],[Attendance_Status]]="Present",1,0)</f>
        <v>1</v>
      </c>
    </row>
    <row r="762" spans="1:11" x14ac:dyDescent="0.3">
      <c r="A762" t="s">
        <v>58</v>
      </c>
      <c r="B762" t="s">
        <v>120</v>
      </c>
      <c r="C762" t="s">
        <v>22</v>
      </c>
      <c r="D762">
        <v>24</v>
      </c>
      <c r="E762">
        <v>6477</v>
      </c>
      <c r="F762">
        <v>22175</v>
      </c>
      <c r="G762" t="s">
        <v>26</v>
      </c>
      <c r="H762" t="str">
        <f>TEXT(CleanData[[#This Row],[Date]],"mmm")</f>
        <v>May</v>
      </c>
      <c r="I762">
        <f>WEEKNUM(CleanData[[#This Row],[Date]])</f>
        <v>21</v>
      </c>
      <c r="J762">
        <f>IF(CleanData[[#This Row],[Revenue]]&gt;=CleanData[[#This Row],[Target]],1,0)</f>
        <v>0</v>
      </c>
      <c r="K762">
        <f>IF(CleanData[[#This Row],[Attendance_Status]]="Present",1,0)</f>
        <v>0</v>
      </c>
    </row>
    <row r="763" spans="1:11" x14ac:dyDescent="0.3">
      <c r="A763" t="s">
        <v>96</v>
      </c>
      <c r="B763" t="s">
        <v>31</v>
      </c>
      <c r="C763" t="s">
        <v>9</v>
      </c>
      <c r="D763">
        <v>7</v>
      </c>
      <c r="E763">
        <v>23663</v>
      </c>
      <c r="F763">
        <v>11957</v>
      </c>
      <c r="G763" t="s">
        <v>10</v>
      </c>
      <c r="H763" t="str">
        <f>TEXT(CleanData[[#This Row],[Date]],"mmm")</f>
        <v>Jun</v>
      </c>
      <c r="I763">
        <f>WEEKNUM(CleanData[[#This Row],[Date]])</f>
        <v>26</v>
      </c>
      <c r="J763">
        <f>IF(CleanData[[#This Row],[Revenue]]&gt;=CleanData[[#This Row],[Target]],1,0)</f>
        <v>1</v>
      </c>
      <c r="K763">
        <f>IF(CleanData[[#This Row],[Attendance_Status]]="Present",1,0)</f>
        <v>1</v>
      </c>
    </row>
    <row r="764" spans="1:11" x14ac:dyDescent="0.3">
      <c r="A764" t="s">
        <v>59</v>
      </c>
      <c r="B764" t="s">
        <v>42</v>
      </c>
      <c r="C764" t="s">
        <v>13</v>
      </c>
      <c r="D764">
        <v>7</v>
      </c>
      <c r="E764">
        <v>12697</v>
      </c>
      <c r="F764">
        <v>23067</v>
      </c>
      <c r="G764" t="s">
        <v>10</v>
      </c>
      <c r="H764" t="str">
        <f>TEXT(CleanData[[#This Row],[Date]],"mmm")</f>
        <v>Mar</v>
      </c>
      <c r="I764">
        <f>WEEKNUM(CleanData[[#This Row],[Date]])</f>
        <v>12</v>
      </c>
      <c r="J764">
        <f>IF(CleanData[[#This Row],[Revenue]]&gt;=CleanData[[#This Row],[Target]],1,0)</f>
        <v>0</v>
      </c>
      <c r="K764">
        <f>IF(CleanData[[#This Row],[Attendance_Status]]="Present",1,0)</f>
        <v>1</v>
      </c>
    </row>
    <row r="765" spans="1:11" x14ac:dyDescent="0.3">
      <c r="A765" t="s">
        <v>47</v>
      </c>
      <c r="B765" t="s">
        <v>33</v>
      </c>
      <c r="C765" t="s">
        <v>13</v>
      </c>
      <c r="D765">
        <v>12</v>
      </c>
      <c r="E765">
        <v>17852</v>
      </c>
      <c r="F765">
        <v>19080</v>
      </c>
      <c r="G765" t="s">
        <v>26</v>
      </c>
      <c r="H765" t="str">
        <f>TEXT(CleanData[[#This Row],[Date]],"mmm")</f>
        <v>May</v>
      </c>
      <c r="I765">
        <f>WEEKNUM(CleanData[[#This Row],[Date]])</f>
        <v>22</v>
      </c>
      <c r="J765">
        <f>IF(CleanData[[#This Row],[Revenue]]&gt;=CleanData[[#This Row],[Target]],1,0)</f>
        <v>0</v>
      </c>
      <c r="K765">
        <f>IF(CleanData[[#This Row],[Attendance_Status]]="Present",1,0)</f>
        <v>0</v>
      </c>
    </row>
    <row r="766" spans="1:11" x14ac:dyDescent="0.3">
      <c r="A766" t="s">
        <v>127</v>
      </c>
      <c r="B766" t="s">
        <v>29</v>
      </c>
      <c r="C766" t="s">
        <v>9</v>
      </c>
      <c r="D766">
        <v>6</v>
      </c>
      <c r="E766">
        <v>25621</v>
      </c>
      <c r="F766">
        <v>12794</v>
      </c>
      <c r="G766" t="s">
        <v>10</v>
      </c>
      <c r="H766" t="str">
        <f>TEXT(CleanData[[#This Row],[Date]],"mmm")</f>
        <v>Jun</v>
      </c>
      <c r="I766">
        <f>WEEKNUM(CleanData[[#This Row],[Date]])</f>
        <v>25</v>
      </c>
      <c r="J766">
        <f>IF(CleanData[[#This Row],[Revenue]]&gt;=CleanData[[#This Row],[Target]],1,0)</f>
        <v>1</v>
      </c>
      <c r="K766">
        <f>IF(CleanData[[#This Row],[Attendance_Status]]="Present",1,0)</f>
        <v>1</v>
      </c>
    </row>
    <row r="767" spans="1:11" x14ac:dyDescent="0.3">
      <c r="A767" t="s">
        <v>118</v>
      </c>
      <c r="B767" t="s">
        <v>92</v>
      </c>
      <c r="C767" t="s">
        <v>13</v>
      </c>
      <c r="D767">
        <v>18</v>
      </c>
      <c r="E767">
        <v>23056</v>
      </c>
      <c r="F767">
        <v>23569</v>
      </c>
      <c r="G767" t="s">
        <v>10</v>
      </c>
      <c r="H767" t="str">
        <f>TEXT(CleanData[[#This Row],[Date]],"mmm")</f>
        <v>Jan</v>
      </c>
      <c r="I767">
        <f>WEEKNUM(CleanData[[#This Row],[Date]])</f>
        <v>4</v>
      </c>
      <c r="J767">
        <f>IF(CleanData[[#This Row],[Revenue]]&gt;=CleanData[[#This Row],[Target]],1,0)</f>
        <v>0</v>
      </c>
      <c r="K767">
        <f>IF(CleanData[[#This Row],[Attendance_Status]]="Present",1,0)</f>
        <v>1</v>
      </c>
    </row>
    <row r="768" spans="1:11" x14ac:dyDescent="0.3">
      <c r="A768" t="s">
        <v>165</v>
      </c>
      <c r="B768" t="s">
        <v>69</v>
      </c>
      <c r="C768" t="s">
        <v>13</v>
      </c>
      <c r="D768">
        <v>14</v>
      </c>
      <c r="E768">
        <v>13789</v>
      </c>
      <c r="F768">
        <v>23412</v>
      </c>
      <c r="G768" t="s">
        <v>10</v>
      </c>
      <c r="H768" t="str">
        <f>TEXT(CleanData[[#This Row],[Date]],"mmm")</f>
        <v>Feb</v>
      </c>
      <c r="I768">
        <f>WEEKNUM(CleanData[[#This Row],[Date]])</f>
        <v>9</v>
      </c>
      <c r="J768">
        <f>IF(CleanData[[#This Row],[Revenue]]&gt;=CleanData[[#This Row],[Target]],1,0)</f>
        <v>0</v>
      </c>
      <c r="K768">
        <f>IF(CleanData[[#This Row],[Attendance_Status]]="Present",1,0)</f>
        <v>1</v>
      </c>
    </row>
    <row r="769" spans="1:11" x14ac:dyDescent="0.3">
      <c r="A769" t="s">
        <v>165</v>
      </c>
      <c r="B769" t="s">
        <v>67</v>
      </c>
      <c r="C769" t="s">
        <v>22</v>
      </c>
      <c r="D769">
        <v>24</v>
      </c>
      <c r="E769">
        <v>14139</v>
      </c>
      <c r="F769">
        <v>22837</v>
      </c>
      <c r="G769" t="s">
        <v>10</v>
      </c>
      <c r="H769" t="str">
        <f>TEXT(CleanData[[#This Row],[Date]],"mmm")</f>
        <v>Feb</v>
      </c>
      <c r="I769">
        <f>WEEKNUM(CleanData[[#This Row],[Date]])</f>
        <v>9</v>
      </c>
      <c r="J769">
        <f>IF(CleanData[[#This Row],[Revenue]]&gt;=CleanData[[#This Row],[Target]],1,0)</f>
        <v>0</v>
      </c>
      <c r="K769">
        <f>IF(CleanData[[#This Row],[Attendance_Status]]="Present",1,0)</f>
        <v>1</v>
      </c>
    </row>
    <row r="770" spans="1:11" x14ac:dyDescent="0.3">
      <c r="A770" t="s">
        <v>182</v>
      </c>
      <c r="B770" t="s">
        <v>75</v>
      </c>
      <c r="C770" t="s">
        <v>13</v>
      </c>
      <c r="D770">
        <v>24</v>
      </c>
      <c r="E770">
        <v>18427</v>
      </c>
      <c r="F770">
        <v>20040</v>
      </c>
      <c r="G770" t="s">
        <v>10</v>
      </c>
      <c r="H770" t="str">
        <f>TEXT(CleanData[[#This Row],[Date]],"mmm")</f>
        <v>Feb</v>
      </c>
      <c r="I770">
        <f>WEEKNUM(CleanData[[#This Row],[Date]])</f>
        <v>5</v>
      </c>
      <c r="J770">
        <f>IF(CleanData[[#This Row],[Revenue]]&gt;=CleanData[[#This Row],[Target]],1,0)</f>
        <v>0</v>
      </c>
      <c r="K770">
        <f>IF(CleanData[[#This Row],[Attendance_Status]]="Present",1,0)</f>
        <v>1</v>
      </c>
    </row>
    <row r="771" spans="1:11" x14ac:dyDescent="0.3">
      <c r="A771" t="s">
        <v>142</v>
      </c>
      <c r="B771" t="s">
        <v>15</v>
      </c>
      <c r="C771" t="s">
        <v>22</v>
      </c>
      <c r="D771">
        <v>15</v>
      </c>
      <c r="E771">
        <v>20942</v>
      </c>
      <c r="F771">
        <v>23387</v>
      </c>
      <c r="G771" t="s">
        <v>10</v>
      </c>
      <c r="H771" t="str">
        <f>TEXT(CleanData[[#This Row],[Date]],"mmm")</f>
        <v>Jan</v>
      </c>
      <c r="I771">
        <f>WEEKNUM(CleanData[[#This Row],[Date]])</f>
        <v>3</v>
      </c>
      <c r="J771">
        <f>IF(CleanData[[#This Row],[Revenue]]&gt;=CleanData[[#This Row],[Target]],1,0)</f>
        <v>0</v>
      </c>
      <c r="K771">
        <f>IF(CleanData[[#This Row],[Attendance_Status]]="Present",1,0)</f>
        <v>1</v>
      </c>
    </row>
    <row r="772" spans="1:11" x14ac:dyDescent="0.3">
      <c r="A772" t="s">
        <v>130</v>
      </c>
      <c r="B772" t="s">
        <v>33</v>
      </c>
      <c r="C772" t="s">
        <v>13</v>
      </c>
      <c r="D772">
        <v>8</v>
      </c>
      <c r="E772">
        <v>18593</v>
      </c>
      <c r="F772">
        <v>18746</v>
      </c>
      <c r="G772" t="s">
        <v>26</v>
      </c>
      <c r="H772" t="str">
        <f>TEXT(CleanData[[#This Row],[Date]],"mmm")</f>
        <v>May</v>
      </c>
      <c r="I772">
        <f>WEEKNUM(CleanData[[#This Row],[Date]])</f>
        <v>20</v>
      </c>
      <c r="J772">
        <f>IF(CleanData[[#This Row],[Revenue]]&gt;=CleanData[[#This Row],[Target]],1,0)</f>
        <v>0</v>
      </c>
      <c r="K772">
        <f>IF(CleanData[[#This Row],[Attendance_Status]]="Present",1,0)</f>
        <v>0</v>
      </c>
    </row>
    <row r="773" spans="1:11" x14ac:dyDescent="0.3">
      <c r="A773" t="s">
        <v>148</v>
      </c>
      <c r="B773" t="s">
        <v>52</v>
      </c>
      <c r="C773" t="s">
        <v>9</v>
      </c>
      <c r="D773">
        <v>14</v>
      </c>
      <c r="E773">
        <v>15617</v>
      </c>
      <c r="F773">
        <v>22298</v>
      </c>
      <c r="G773" t="s">
        <v>26</v>
      </c>
      <c r="H773" t="str">
        <f>TEXT(CleanData[[#This Row],[Date]],"mmm")</f>
        <v>Jun</v>
      </c>
      <c r="I773">
        <f>WEEKNUM(CleanData[[#This Row],[Date]])</f>
        <v>23</v>
      </c>
      <c r="J773">
        <f>IF(CleanData[[#This Row],[Revenue]]&gt;=CleanData[[#This Row],[Target]],1,0)</f>
        <v>0</v>
      </c>
      <c r="K773">
        <f>IF(CleanData[[#This Row],[Attendance_Status]]="Present",1,0)</f>
        <v>0</v>
      </c>
    </row>
    <row r="774" spans="1:11" x14ac:dyDescent="0.3">
      <c r="A774" t="s">
        <v>87</v>
      </c>
      <c r="B774" t="s">
        <v>42</v>
      </c>
      <c r="C774" t="s">
        <v>13</v>
      </c>
      <c r="D774">
        <v>19</v>
      </c>
      <c r="E774">
        <v>8239</v>
      </c>
      <c r="F774">
        <v>24523</v>
      </c>
      <c r="G774" t="s">
        <v>10</v>
      </c>
      <c r="H774" t="str">
        <f>TEXT(CleanData[[#This Row],[Date]],"mmm")</f>
        <v>May</v>
      </c>
      <c r="I774">
        <f>WEEKNUM(CleanData[[#This Row],[Date]])</f>
        <v>18</v>
      </c>
      <c r="J774">
        <f>IF(CleanData[[#This Row],[Revenue]]&gt;=CleanData[[#This Row],[Target]],1,0)</f>
        <v>0</v>
      </c>
      <c r="K774">
        <f>IF(CleanData[[#This Row],[Attendance_Status]]="Present",1,0)</f>
        <v>1</v>
      </c>
    </row>
    <row r="775" spans="1:11" x14ac:dyDescent="0.3">
      <c r="A775" t="s">
        <v>87</v>
      </c>
      <c r="B775" t="s">
        <v>42</v>
      </c>
      <c r="C775" t="s">
        <v>22</v>
      </c>
      <c r="D775">
        <v>23</v>
      </c>
      <c r="E775">
        <v>14884</v>
      </c>
      <c r="F775">
        <v>10926</v>
      </c>
      <c r="G775" t="s">
        <v>10</v>
      </c>
      <c r="H775" t="str">
        <f>TEXT(CleanData[[#This Row],[Date]],"mmm")</f>
        <v>May</v>
      </c>
      <c r="I775">
        <f>WEEKNUM(CleanData[[#This Row],[Date]])</f>
        <v>18</v>
      </c>
      <c r="J775">
        <f>IF(CleanData[[#This Row],[Revenue]]&gt;=CleanData[[#This Row],[Target]],1,0)</f>
        <v>1</v>
      </c>
      <c r="K775">
        <f>IF(CleanData[[#This Row],[Attendance_Status]]="Present",1,0)</f>
        <v>1</v>
      </c>
    </row>
    <row r="776" spans="1:11" x14ac:dyDescent="0.3">
      <c r="A776" t="s">
        <v>192</v>
      </c>
      <c r="B776" t="s">
        <v>42</v>
      </c>
      <c r="C776" t="s">
        <v>13</v>
      </c>
      <c r="D776">
        <v>16</v>
      </c>
      <c r="E776">
        <v>19633</v>
      </c>
      <c r="F776">
        <v>23445</v>
      </c>
      <c r="G776" t="s">
        <v>10</v>
      </c>
      <c r="H776" t="str">
        <f>TEXT(CleanData[[#This Row],[Date]],"mmm")</f>
        <v>Jan</v>
      </c>
      <c r="I776">
        <f>WEEKNUM(CleanData[[#This Row],[Date]])</f>
        <v>3</v>
      </c>
      <c r="J776">
        <f>IF(CleanData[[#This Row],[Revenue]]&gt;=CleanData[[#This Row],[Target]],1,0)</f>
        <v>0</v>
      </c>
      <c r="K776">
        <f>IF(CleanData[[#This Row],[Attendance_Status]]="Present",1,0)</f>
        <v>1</v>
      </c>
    </row>
    <row r="777" spans="1:11" x14ac:dyDescent="0.3">
      <c r="A777" t="s">
        <v>149</v>
      </c>
      <c r="B777" t="s">
        <v>69</v>
      </c>
      <c r="C777" t="s">
        <v>13</v>
      </c>
      <c r="D777">
        <v>14</v>
      </c>
      <c r="E777">
        <v>22451</v>
      </c>
      <c r="F777">
        <v>18564</v>
      </c>
      <c r="G777" t="s">
        <v>10</v>
      </c>
      <c r="H777" t="str">
        <f>TEXT(CleanData[[#This Row],[Date]],"mmm")</f>
        <v>Mar</v>
      </c>
      <c r="I777">
        <f>WEEKNUM(CleanData[[#This Row],[Date]])</f>
        <v>12</v>
      </c>
      <c r="J777">
        <f>IF(CleanData[[#This Row],[Revenue]]&gt;=CleanData[[#This Row],[Target]],1,0)</f>
        <v>1</v>
      </c>
      <c r="K777">
        <f>IF(CleanData[[#This Row],[Attendance_Status]]="Present",1,0)</f>
        <v>1</v>
      </c>
    </row>
    <row r="778" spans="1:11" x14ac:dyDescent="0.3">
      <c r="A778" t="s">
        <v>23</v>
      </c>
      <c r="B778" t="s">
        <v>40</v>
      </c>
      <c r="C778" t="s">
        <v>9</v>
      </c>
      <c r="D778">
        <v>19</v>
      </c>
      <c r="E778">
        <v>23421</v>
      </c>
      <c r="F778">
        <v>23384</v>
      </c>
      <c r="G778" t="s">
        <v>10</v>
      </c>
      <c r="H778" t="str">
        <f>TEXT(CleanData[[#This Row],[Date]],"mmm")</f>
        <v>Mar</v>
      </c>
      <c r="I778">
        <f>WEEKNUM(CleanData[[#This Row],[Date]])</f>
        <v>10</v>
      </c>
      <c r="J778">
        <f>IF(CleanData[[#This Row],[Revenue]]&gt;=CleanData[[#This Row],[Target]],1,0)</f>
        <v>1</v>
      </c>
      <c r="K778">
        <f>IF(CleanData[[#This Row],[Attendance_Status]]="Present",1,0)</f>
        <v>1</v>
      </c>
    </row>
    <row r="779" spans="1:11" x14ac:dyDescent="0.3">
      <c r="A779" t="s">
        <v>18</v>
      </c>
      <c r="B779" t="s">
        <v>27</v>
      </c>
      <c r="C779" t="s">
        <v>13</v>
      </c>
      <c r="D779">
        <v>15</v>
      </c>
      <c r="E779">
        <v>28861</v>
      </c>
      <c r="F779">
        <v>13763</v>
      </c>
      <c r="G779" t="s">
        <v>10</v>
      </c>
      <c r="H779" t="str">
        <f>TEXT(CleanData[[#This Row],[Date]],"mmm")</f>
        <v>Apr</v>
      </c>
      <c r="I779">
        <f>WEEKNUM(CleanData[[#This Row],[Date]])</f>
        <v>17</v>
      </c>
      <c r="J779">
        <f>IF(CleanData[[#This Row],[Revenue]]&gt;=CleanData[[#This Row],[Target]],1,0)</f>
        <v>1</v>
      </c>
      <c r="K779">
        <f>IF(CleanData[[#This Row],[Attendance_Status]]="Present",1,0)</f>
        <v>1</v>
      </c>
    </row>
    <row r="780" spans="1:11" x14ac:dyDescent="0.3">
      <c r="A780" t="s">
        <v>49</v>
      </c>
      <c r="B780" t="s">
        <v>54</v>
      </c>
      <c r="C780" t="s">
        <v>22</v>
      </c>
      <c r="D780">
        <v>19</v>
      </c>
      <c r="E780">
        <v>20790</v>
      </c>
      <c r="F780">
        <v>10460</v>
      </c>
      <c r="G780" t="s">
        <v>10</v>
      </c>
      <c r="H780" t="str">
        <f>TEXT(CleanData[[#This Row],[Date]],"mmm")</f>
        <v>Mar</v>
      </c>
      <c r="I780">
        <f>WEEKNUM(CleanData[[#This Row],[Date]])</f>
        <v>10</v>
      </c>
      <c r="J780">
        <f>IF(CleanData[[#This Row],[Revenue]]&gt;=CleanData[[#This Row],[Target]],1,0)</f>
        <v>1</v>
      </c>
      <c r="K780">
        <f>IF(CleanData[[#This Row],[Attendance_Status]]="Present",1,0)</f>
        <v>1</v>
      </c>
    </row>
    <row r="781" spans="1:11" x14ac:dyDescent="0.3">
      <c r="A781" t="s">
        <v>124</v>
      </c>
      <c r="B781" t="s">
        <v>75</v>
      </c>
      <c r="C781" t="s">
        <v>9</v>
      </c>
      <c r="D781">
        <v>24</v>
      </c>
      <c r="E781">
        <v>27157</v>
      </c>
      <c r="F781">
        <v>10914</v>
      </c>
      <c r="G781" t="s">
        <v>10</v>
      </c>
      <c r="H781" t="str">
        <f>TEXT(CleanData[[#This Row],[Date]],"mmm")</f>
        <v>Feb</v>
      </c>
      <c r="I781">
        <f>WEEKNUM(CleanData[[#This Row],[Date]])</f>
        <v>7</v>
      </c>
      <c r="J781">
        <f>IF(CleanData[[#This Row],[Revenue]]&gt;=CleanData[[#This Row],[Target]],1,0)</f>
        <v>1</v>
      </c>
      <c r="K781">
        <f>IF(CleanData[[#This Row],[Attendance_Status]]="Present",1,0)</f>
        <v>1</v>
      </c>
    </row>
    <row r="782" spans="1:11" x14ac:dyDescent="0.3">
      <c r="A782" t="s">
        <v>49</v>
      </c>
      <c r="B782" t="s">
        <v>37</v>
      </c>
      <c r="C782" t="s">
        <v>13</v>
      </c>
      <c r="D782">
        <v>21</v>
      </c>
      <c r="E782">
        <v>21125</v>
      </c>
      <c r="F782">
        <v>20066</v>
      </c>
      <c r="G782" t="s">
        <v>10</v>
      </c>
      <c r="H782" t="str">
        <f>TEXT(CleanData[[#This Row],[Date]],"mmm")</f>
        <v>Mar</v>
      </c>
      <c r="I782">
        <f>WEEKNUM(CleanData[[#This Row],[Date]])</f>
        <v>10</v>
      </c>
      <c r="J782">
        <f>IF(CleanData[[#This Row],[Revenue]]&gt;=CleanData[[#This Row],[Target]],1,0)</f>
        <v>1</v>
      </c>
      <c r="K782">
        <f>IF(CleanData[[#This Row],[Attendance_Status]]="Present",1,0)</f>
        <v>1</v>
      </c>
    </row>
    <row r="783" spans="1:11" x14ac:dyDescent="0.3">
      <c r="A783" t="s">
        <v>89</v>
      </c>
      <c r="B783" t="s">
        <v>101</v>
      </c>
      <c r="C783" t="s">
        <v>9</v>
      </c>
      <c r="D783">
        <v>22</v>
      </c>
      <c r="E783">
        <v>5279</v>
      </c>
      <c r="F783">
        <v>19909</v>
      </c>
      <c r="G783" t="s">
        <v>10</v>
      </c>
      <c r="H783" t="str">
        <f>TEXT(CleanData[[#This Row],[Date]],"mmm")</f>
        <v>Jun</v>
      </c>
      <c r="I783">
        <f>WEEKNUM(CleanData[[#This Row],[Date]])</f>
        <v>23</v>
      </c>
      <c r="J783">
        <f>IF(CleanData[[#This Row],[Revenue]]&gt;=CleanData[[#This Row],[Target]],1,0)</f>
        <v>0</v>
      </c>
      <c r="K783">
        <f>IF(CleanData[[#This Row],[Attendance_Status]]="Present",1,0)</f>
        <v>1</v>
      </c>
    </row>
    <row r="784" spans="1:11" x14ac:dyDescent="0.3">
      <c r="A784" t="s">
        <v>85</v>
      </c>
      <c r="B784" t="s">
        <v>25</v>
      </c>
      <c r="C784" t="s">
        <v>22</v>
      </c>
      <c r="D784">
        <v>16</v>
      </c>
      <c r="E784">
        <v>14277</v>
      </c>
      <c r="F784">
        <v>19517</v>
      </c>
      <c r="G784" t="s">
        <v>10</v>
      </c>
      <c r="H784" t="str">
        <f>TEXT(CleanData[[#This Row],[Date]],"mmm")</f>
        <v>Apr</v>
      </c>
      <c r="I784">
        <f>WEEKNUM(CleanData[[#This Row],[Date]])</f>
        <v>18</v>
      </c>
      <c r="J784">
        <f>IF(CleanData[[#This Row],[Revenue]]&gt;=CleanData[[#This Row],[Target]],1,0)</f>
        <v>0</v>
      </c>
      <c r="K784">
        <f>IF(CleanData[[#This Row],[Attendance_Status]]="Present",1,0)</f>
        <v>1</v>
      </c>
    </row>
    <row r="785" spans="1:11" x14ac:dyDescent="0.3">
      <c r="A785" t="s">
        <v>143</v>
      </c>
      <c r="B785" t="s">
        <v>8</v>
      </c>
      <c r="C785" t="s">
        <v>9</v>
      </c>
      <c r="D785">
        <v>20</v>
      </c>
      <c r="E785">
        <v>17838</v>
      </c>
      <c r="F785">
        <v>15829</v>
      </c>
      <c r="G785" t="s">
        <v>10</v>
      </c>
      <c r="H785" t="str">
        <f>TEXT(CleanData[[#This Row],[Date]],"mmm")</f>
        <v>Jan</v>
      </c>
      <c r="I785">
        <f>WEEKNUM(CleanData[[#This Row],[Date]])</f>
        <v>2</v>
      </c>
      <c r="J785">
        <f>IF(CleanData[[#This Row],[Revenue]]&gt;=CleanData[[#This Row],[Target]],1,0)</f>
        <v>1</v>
      </c>
      <c r="K785">
        <f>IF(CleanData[[#This Row],[Attendance_Status]]="Present",1,0)</f>
        <v>1</v>
      </c>
    </row>
    <row r="786" spans="1:11" x14ac:dyDescent="0.3">
      <c r="A786" t="s">
        <v>122</v>
      </c>
      <c r="B786" t="s">
        <v>15</v>
      </c>
      <c r="C786" t="s">
        <v>9</v>
      </c>
      <c r="D786">
        <v>22</v>
      </c>
      <c r="E786">
        <v>21459</v>
      </c>
      <c r="F786">
        <v>10967</v>
      </c>
      <c r="G786" t="s">
        <v>10</v>
      </c>
      <c r="H786" t="str">
        <f>TEXT(CleanData[[#This Row],[Date]],"mmm")</f>
        <v>Feb</v>
      </c>
      <c r="I786">
        <f>WEEKNUM(CleanData[[#This Row],[Date]])</f>
        <v>6</v>
      </c>
      <c r="J786">
        <f>IF(CleanData[[#This Row],[Revenue]]&gt;=CleanData[[#This Row],[Target]],1,0)</f>
        <v>1</v>
      </c>
      <c r="K786">
        <f>IF(CleanData[[#This Row],[Attendance_Status]]="Present",1,0)</f>
        <v>1</v>
      </c>
    </row>
    <row r="787" spans="1:11" x14ac:dyDescent="0.3">
      <c r="A787" t="s">
        <v>127</v>
      </c>
      <c r="B787" t="s">
        <v>29</v>
      </c>
      <c r="C787" t="s">
        <v>9</v>
      </c>
      <c r="D787">
        <v>6</v>
      </c>
      <c r="E787">
        <v>15445</v>
      </c>
      <c r="F787">
        <v>16614</v>
      </c>
      <c r="G787" t="s">
        <v>10</v>
      </c>
      <c r="H787" t="str">
        <f>TEXT(CleanData[[#This Row],[Date]],"mmm")</f>
        <v>Jun</v>
      </c>
      <c r="I787">
        <f>WEEKNUM(CleanData[[#This Row],[Date]])</f>
        <v>25</v>
      </c>
      <c r="J787">
        <f>IF(CleanData[[#This Row],[Revenue]]&gt;=CleanData[[#This Row],[Target]],1,0)</f>
        <v>0</v>
      </c>
      <c r="K787">
        <f>IF(CleanData[[#This Row],[Attendance_Status]]="Present",1,0)</f>
        <v>1</v>
      </c>
    </row>
    <row r="788" spans="1:11" x14ac:dyDescent="0.3">
      <c r="A788" t="s">
        <v>218</v>
      </c>
      <c r="B788" t="s">
        <v>67</v>
      </c>
      <c r="C788" t="s">
        <v>22</v>
      </c>
      <c r="D788">
        <v>7</v>
      </c>
      <c r="E788">
        <v>14103</v>
      </c>
      <c r="F788">
        <v>18923</v>
      </c>
      <c r="G788" t="s">
        <v>10</v>
      </c>
      <c r="H788" t="str">
        <f>TEXT(CleanData[[#This Row],[Date]],"mmm")</f>
        <v>Apr</v>
      </c>
      <c r="I788">
        <f>WEEKNUM(CleanData[[#This Row],[Date]])</f>
        <v>15</v>
      </c>
      <c r="J788">
        <f>IF(CleanData[[#This Row],[Revenue]]&gt;=CleanData[[#This Row],[Target]],1,0)</f>
        <v>0</v>
      </c>
      <c r="K788">
        <f>IF(CleanData[[#This Row],[Attendance_Status]]="Present",1,0)</f>
        <v>1</v>
      </c>
    </row>
    <row r="789" spans="1:11" x14ac:dyDescent="0.3">
      <c r="A789" t="s">
        <v>192</v>
      </c>
      <c r="B789" t="s">
        <v>21</v>
      </c>
      <c r="C789" t="s">
        <v>13</v>
      </c>
      <c r="D789">
        <v>13</v>
      </c>
      <c r="E789">
        <v>11228</v>
      </c>
      <c r="F789">
        <v>22217</v>
      </c>
      <c r="G789" t="s">
        <v>26</v>
      </c>
      <c r="H789" t="str">
        <f>TEXT(CleanData[[#This Row],[Date]],"mmm")</f>
        <v>Jan</v>
      </c>
      <c r="I789">
        <f>WEEKNUM(CleanData[[#This Row],[Date]])</f>
        <v>3</v>
      </c>
      <c r="J789">
        <f>IF(CleanData[[#This Row],[Revenue]]&gt;=CleanData[[#This Row],[Target]],1,0)</f>
        <v>0</v>
      </c>
      <c r="K789">
        <f>IF(CleanData[[#This Row],[Attendance_Status]]="Present",1,0)</f>
        <v>0</v>
      </c>
    </row>
    <row r="790" spans="1:11" x14ac:dyDescent="0.3">
      <c r="A790" t="s">
        <v>90</v>
      </c>
      <c r="B790" t="s">
        <v>40</v>
      </c>
      <c r="C790" t="s">
        <v>22</v>
      </c>
      <c r="D790">
        <v>22</v>
      </c>
      <c r="E790">
        <v>28811</v>
      </c>
      <c r="F790">
        <v>20291</v>
      </c>
      <c r="G790" t="s">
        <v>10</v>
      </c>
      <c r="H790" t="str">
        <f>TEXT(CleanData[[#This Row],[Date]],"mmm")</f>
        <v>May</v>
      </c>
      <c r="I790">
        <f>WEEKNUM(CleanData[[#This Row],[Date]])</f>
        <v>19</v>
      </c>
      <c r="J790">
        <f>IF(CleanData[[#This Row],[Revenue]]&gt;=CleanData[[#This Row],[Target]],1,0)</f>
        <v>1</v>
      </c>
      <c r="K790">
        <f>IF(CleanData[[#This Row],[Attendance_Status]]="Present",1,0)</f>
        <v>1</v>
      </c>
    </row>
    <row r="791" spans="1:11" x14ac:dyDescent="0.3">
      <c r="A791" t="s">
        <v>30</v>
      </c>
      <c r="B791" t="s">
        <v>64</v>
      </c>
      <c r="C791" t="s">
        <v>13</v>
      </c>
      <c r="D791">
        <v>19</v>
      </c>
      <c r="E791">
        <v>19057</v>
      </c>
      <c r="F791">
        <v>22565</v>
      </c>
      <c r="G791" t="s">
        <v>10</v>
      </c>
      <c r="H791" t="str">
        <f>TEXT(CleanData[[#This Row],[Date]],"mmm")</f>
        <v>Mar</v>
      </c>
      <c r="I791">
        <f>WEEKNUM(CleanData[[#This Row],[Date]])</f>
        <v>11</v>
      </c>
      <c r="J791">
        <f>IF(CleanData[[#This Row],[Revenue]]&gt;=CleanData[[#This Row],[Target]],1,0)</f>
        <v>0</v>
      </c>
      <c r="K791">
        <f>IF(CleanData[[#This Row],[Attendance_Status]]="Present",1,0)</f>
        <v>1</v>
      </c>
    </row>
    <row r="792" spans="1:11" x14ac:dyDescent="0.3">
      <c r="A792" t="s">
        <v>116</v>
      </c>
      <c r="B792" t="s">
        <v>35</v>
      </c>
      <c r="C792" t="s">
        <v>22</v>
      </c>
      <c r="D792">
        <v>25</v>
      </c>
      <c r="E792">
        <v>8874</v>
      </c>
      <c r="F792">
        <v>19432</v>
      </c>
      <c r="G792" t="s">
        <v>10</v>
      </c>
      <c r="H792" t="str">
        <f>TEXT(CleanData[[#This Row],[Date]],"mmm")</f>
        <v>Jun</v>
      </c>
      <c r="I792">
        <f>WEEKNUM(CleanData[[#This Row],[Date]])</f>
        <v>22</v>
      </c>
      <c r="J792">
        <f>IF(CleanData[[#This Row],[Revenue]]&gt;=CleanData[[#This Row],[Target]],1,0)</f>
        <v>0</v>
      </c>
      <c r="K792">
        <f>IF(CleanData[[#This Row],[Attendance_Status]]="Present",1,0)</f>
        <v>1</v>
      </c>
    </row>
    <row r="793" spans="1:11" x14ac:dyDescent="0.3">
      <c r="A793" t="s">
        <v>104</v>
      </c>
      <c r="B793" t="s">
        <v>40</v>
      </c>
      <c r="C793" t="s">
        <v>22</v>
      </c>
      <c r="D793">
        <v>21</v>
      </c>
      <c r="E793">
        <v>10035</v>
      </c>
      <c r="F793">
        <v>14926</v>
      </c>
      <c r="G793" t="s">
        <v>10</v>
      </c>
      <c r="H793" t="str">
        <f>TEXT(CleanData[[#This Row],[Date]],"mmm")</f>
        <v>Apr</v>
      </c>
      <c r="I793">
        <f>WEEKNUM(CleanData[[#This Row],[Date]])</f>
        <v>16</v>
      </c>
      <c r="J793">
        <f>IF(CleanData[[#This Row],[Revenue]]&gt;=CleanData[[#This Row],[Target]],1,0)</f>
        <v>0</v>
      </c>
      <c r="K793">
        <f>IF(CleanData[[#This Row],[Attendance_Status]]="Present",1,0)</f>
        <v>1</v>
      </c>
    </row>
    <row r="794" spans="1:11" x14ac:dyDescent="0.3">
      <c r="A794" t="s">
        <v>124</v>
      </c>
      <c r="B794" t="s">
        <v>35</v>
      </c>
      <c r="C794" t="s">
        <v>9</v>
      </c>
      <c r="D794">
        <v>8</v>
      </c>
      <c r="E794">
        <v>23269</v>
      </c>
      <c r="F794">
        <v>10028</v>
      </c>
      <c r="G794" t="s">
        <v>10</v>
      </c>
      <c r="H794" t="str">
        <f>TEXT(CleanData[[#This Row],[Date]],"mmm")</f>
        <v>Feb</v>
      </c>
      <c r="I794">
        <f>WEEKNUM(CleanData[[#This Row],[Date]])</f>
        <v>7</v>
      </c>
      <c r="J794">
        <f>IF(CleanData[[#This Row],[Revenue]]&gt;=CleanData[[#This Row],[Target]],1,0)</f>
        <v>1</v>
      </c>
      <c r="K794">
        <f>IF(CleanData[[#This Row],[Attendance_Status]]="Present",1,0)</f>
        <v>1</v>
      </c>
    </row>
    <row r="795" spans="1:11" x14ac:dyDescent="0.3">
      <c r="A795" t="s">
        <v>150</v>
      </c>
      <c r="B795" t="s">
        <v>50</v>
      </c>
      <c r="C795" t="s">
        <v>9</v>
      </c>
      <c r="D795">
        <v>17</v>
      </c>
      <c r="E795">
        <v>7990</v>
      </c>
      <c r="F795">
        <v>13055</v>
      </c>
      <c r="G795" t="s">
        <v>10</v>
      </c>
      <c r="H795" t="str">
        <f>TEXT(CleanData[[#This Row],[Date]],"mmm")</f>
        <v>Feb</v>
      </c>
      <c r="I795">
        <f>WEEKNUM(CleanData[[#This Row],[Date]])</f>
        <v>6</v>
      </c>
      <c r="J795">
        <f>IF(CleanData[[#This Row],[Revenue]]&gt;=CleanData[[#This Row],[Target]],1,0)</f>
        <v>0</v>
      </c>
      <c r="K795">
        <f>IF(CleanData[[#This Row],[Attendance_Status]]="Present",1,0)</f>
        <v>1</v>
      </c>
    </row>
    <row r="796" spans="1:11" x14ac:dyDescent="0.3">
      <c r="A796" t="s">
        <v>152</v>
      </c>
      <c r="B796" t="s">
        <v>37</v>
      </c>
      <c r="C796" t="s">
        <v>13</v>
      </c>
      <c r="D796">
        <v>6</v>
      </c>
      <c r="E796">
        <v>19564</v>
      </c>
      <c r="F796">
        <v>21851</v>
      </c>
      <c r="G796" t="s">
        <v>10</v>
      </c>
      <c r="H796" t="str">
        <f>TEXT(CleanData[[#This Row],[Date]],"mmm")</f>
        <v>Jan</v>
      </c>
      <c r="I796">
        <f>WEEKNUM(CleanData[[#This Row],[Date]])</f>
        <v>2</v>
      </c>
      <c r="J796">
        <f>IF(CleanData[[#This Row],[Revenue]]&gt;=CleanData[[#This Row],[Target]],1,0)</f>
        <v>0</v>
      </c>
      <c r="K796">
        <f>IF(CleanData[[#This Row],[Attendance_Status]]="Present",1,0)</f>
        <v>1</v>
      </c>
    </row>
    <row r="797" spans="1:11" x14ac:dyDescent="0.3">
      <c r="A797" t="s">
        <v>63</v>
      </c>
      <c r="B797" t="s">
        <v>101</v>
      </c>
      <c r="C797" t="s">
        <v>13</v>
      </c>
      <c r="D797">
        <v>10</v>
      </c>
      <c r="E797">
        <v>10094</v>
      </c>
      <c r="F797">
        <v>21680</v>
      </c>
      <c r="G797" t="s">
        <v>10</v>
      </c>
      <c r="H797" t="str">
        <f>TEXT(CleanData[[#This Row],[Date]],"mmm")</f>
        <v>Jun</v>
      </c>
      <c r="I797">
        <f>WEEKNUM(CleanData[[#This Row],[Date]])</f>
        <v>24</v>
      </c>
      <c r="J797">
        <f>IF(CleanData[[#This Row],[Revenue]]&gt;=CleanData[[#This Row],[Target]],1,0)</f>
        <v>0</v>
      </c>
      <c r="K797">
        <f>IF(CleanData[[#This Row],[Attendance_Status]]="Present",1,0)</f>
        <v>1</v>
      </c>
    </row>
    <row r="798" spans="1:11" x14ac:dyDescent="0.3">
      <c r="A798" t="s">
        <v>186</v>
      </c>
      <c r="B798" t="s">
        <v>73</v>
      </c>
      <c r="C798" t="s">
        <v>22</v>
      </c>
      <c r="D798">
        <v>23</v>
      </c>
      <c r="E798">
        <v>28231</v>
      </c>
      <c r="F798">
        <v>10760</v>
      </c>
      <c r="G798" t="s">
        <v>10</v>
      </c>
      <c r="H798" t="str">
        <f>TEXT(CleanData[[#This Row],[Date]],"mmm")</f>
        <v>Apr</v>
      </c>
      <c r="I798">
        <f>WEEKNUM(CleanData[[#This Row],[Date]])</f>
        <v>16</v>
      </c>
      <c r="J798">
        <f>IF(CleanData[[#This Row],[Revenue]]&gt;=CleanData[[#This Row],[Target]],1,0)</f>
        <v>1</v>
      </c>
      <c r="K798">
        <f>IF(CleanData[[#This Row],[Attendance_Status]]="Present",1,0)</f>
        <v>1</v>
      </c>
    </row>
    <row r="799" spans="1:11" x14ac:dyDescent="0.3">
      <c r="A799" t="s">
        <v>55</v>
      </c>
      <c r="B799" t="s">
        <v>54</v>
      </c>
      <c r="C799" t="s">
        <v>22</v>
      </c>
      <c r="D799">
        <v>15</v>
      </c>
      <c r="E799">
        <v>15210</v>
      </c>
      <c r="F799">
        <v>13623</v>
      </c>
      <c r="G799" t="s">
        <v>10</v>
      </c>
      <c r="H799" t="str">
        <f>TEXT(CleanData[[#This Row],[Date]],"mmm")</f>
        <v>Feb</v>
      </c>
      <c r="I799">
        <f>WEEKNUM(CleanData[[#This Row],[Date]])</f>
        <v>8</v>
      </c>
      <c r="J799">
        <f>IF(CleanData[[#This Row],[Revenue]]&gt;=CleanData[[#This Row],[Target]],1,0)</f>
        <v>1</v>
      </c>
      <c r="K799">
        <f>IF(CleanData[[#This Row],[Attendance_Status]]="Present",1,0)</f>
        <v>1</v>
      </c>
    </row>
    <row r="800" spans="1:11" x14ac:dyDescent="0.3">
      <c r="A800" t="s">
        <v>178</v>
      </c>
      <c r="B800" t="s">
        <v>37</v>
      </c>
      <c r="C800" t="s">
        <v>9</v>
      </c>
      <c r="D800">
        <v>11</v>
      </c>
      <c r="E800">
        <v>16059</v>
      </c>
      <c r="F800">
        <v>12023</v>
      </c>
      <c r="G800" t="s">
        <v>10</v>
      </c>
      <c r="H800" t="str">
        <f>TEXT(CleanData[[#This Row],[Date]],"mmm")</f>
        <v>Feb</v>
      </c>
      <c r="I800">
        <f>WEEKNUM(CleanData[[#This Row],[Date]])</f>
        <v>9</v>
      </c>
      <c r="J800">
        <f>IF(CleanData[[#This Row],[Revenue]]&gt;=CleanData[[#This Row],[Target]],1,0)</f>
        <v>1</v>
      </c>
      <c r="K800">
        <f>IF(CleanData[[#This Row],[Attendance_Status]]="Present",1,0)</f>
        <v>1</v>
      </c>
    </row>
    <row r="801" spans="1:11" x14ac:dyDescent="0.3">
      <c r="A801" t="s">
        <v>192</v>
      </c>
      <c r="B801" t="s">
        <v>79</v>
      </c>
      <c r="C801" t="s">
        <v>22</v>
      </c>
      <c r="D801">
        <v>16</v>
      </c>
      <c r="E801">
        <v>28797</v>
      </c>
      <c r="F801">
        <v>22164</v>
      </c>
      <c r="G801" t="s">
        <v>26</v>
      </c>
      <c r="H801" t="str">
        <f>TEXT(CleanData[[#This Row],[Date]],"mmm")</f>
        <v>Jan</v>
      </c>
      <c r="I801">
        <f>WEEKNUM(CleanData[[#This Row],[Date]])</f>
        <v>3</v>
      </c>
      <c r="J801">
        <f>IF(CleanData[[#This Row],[Revenue]]&gt;=CleanData[[#This Row],[Target]],1,0)</f>
        <v>1</v>
      </c>
      <c r="K801">
        <f>IF(CleanData[[#This Row],[Attendance_Status]]="Present",1,0)</f>
        <v>0</v>
      </c>
    </row>
    <row r="802" spans="1:11" x14ac:dyDescent="0.3">
      <c r="A802" t="s">
        <v>112</v>
      </c>
      <c r="B802" t="s">
        <v>120</v>
      </c>
      <c r="C802" t="s">
        <v>22</v>
      </c>
      <c r="D802">
        <v>24</v>
      </c>
      <c r="E802">
        <v>14094</v>
      </c>
      <c r="F802">
        <v>10449</v>
      </c>
      <c r="G802" t="s">
        <v>10</v>
      </c>
      <c r="H802" t="str">
        <f>TEXT(CleanData[[#This Row],[Date]],"mmm")</f>
        <v>Apr</v>
      </c>
      <c r="I802">
        <f>WEEKNUM(CleanData[[#This Row],[Date]])</f>
        <v>14</v>
      </c>
      <c r="J802">
        <f>IF(CleanData[[#This Row],[Revenue]]&gt;=CleanData[[#This Row],[Target]],1,0)</f>
        <v>1</v>
      </c>
      <c r="K802">
        <f>IF(CleanData[[#This Row],[Attendance_Status]]="Present",1,0)</f>
        <v>1</v>
      </c>
    </row>
    <row r="803" spans="1:11" x14ac:dyDescent="0.3">
      <c r="A803" t="s">
        <v>61</v>
      </c>
      <c r="B803" t="s">
        <v>92</v>
      </c>
      <c r="C803" t="s">
        <v>9</v>
      </c>
      <c r="D803">
        <v>13</v>
      </c>
      <c r="E803">
        <v>20931</v>
      </c>
      <c r="F803">
        <v>13078</v>
      </c>
      <c r="G803" t="s">
        <v>26</v>
      </c>
      <c r="H803" t="str">
        <f>TEXT(CleanData[[#This Row],[Date]],"mmm")</f>
        <v>Jan</v>
      </c>
      <c r="I803">
        <f>WEEKNUM(CleanData[[#This Row],[Date]])</f>
        <v>4</v>
      </c>
      <c r="J803">
        <f>IF(CleanData[[#This Row],[Revenue]]&gt;=CleanData[[#This Row],[Target]],1,0)</f>
        <v>1</v>
      </c>
      <c r="K803">
        <f>IF(CleanData[[#This Row],[Attendance_Status]]="Present",1,0)</f>
        <v>0</v>
      </c>
    </row>
    <row r="804" spans="1:11" x14ac:dyDescent="0.3">
      <c r="A804" t="s">
        <v>71</v>
      </c>
      <c r="B804" t="s">
        <v>52</v>
      </c>
      <c r="C804" t="s">
        <v>13</v>
      </c>
      <c r="D804">
        <v>6</v>
      </c>
      <c r="E804">
        <v>29293</v>
      </c>
      <c r="F804">
        <v>16219</v>
      </c>
      <c r="G804" t="s">
        <v>10</v>
      </c>
      <c r="H804" t="str">
        <f>TEXT(CleanData[[#This Row],[Date]],"mmm")</f>
        <v>Apr</v>
      </c>
      <c r="I804">
        <f>WEEKNUM(CleanData[[#This Row],[Date]])</f>
        <v>14</v>
      </c>
      <c r="J804">
        <f>IF(CleanData[[#This Row],[Revenue]]&gt;=CleanData[[#This Row],[Target]],1,0)</f>
        <v>1</v>
      </c>
      <c r="K804">
        <f>IF(CleanData[[#This Row],[Attendance_Status]]="Present",1,0)</f>
        <v>1</v>
      </c>
    </row>
    <row r="805" spans="1:11" x14ac:dyDescent="0.3">
      <c r="A805" t="s">
        <v>83</v>
      </c>
      <c r="B805" t="s">
        <v>27</v>
      </c>
      <c r="C805" t="s">
        <v>22</v>
      </c>
      <c r="D805">
        <v>23</v>
      </c>
      <c r="E805">
        <v>14171</v>
      </c>
      <c r="F805">
        <v>22030</v>
      </c>
      <c r="G805" t="s">
        <v>10</v>
      </c>
      <c r="H805" t="str">
        <f>TEXT(CleanData[[#This Row],[Date]],"mmm")</f>
        <v>Mar</v>
      </c>
      <c r="I805">
        <f>WEEKNUM(CleanData[[#This Row],[Date]])</f>
        <v>10</v>
      </c>
      <c r="J805">
        <f>IF(CleanData[[#This Row],[Revenue]]&gt;=CleanData[[#This Row],[Target]],1,0)</f>
        <v>0</v>
      </c>
      <c r="K805">
        <f>IF(CleanData[[#This Row],[Attendance_Status]]="Present",1,0)</f>
        <v>1</v>
      </c>
    </row>
    <row r="806" spans="1:11" x14ac:dyDescent="0.3">
      <c r="A806" t="s">
        <v>59</v>
      </c>
      <c r="B806" t="s">
        <v>29</v>
      </c>
      <c r="C806" t="s">
        <v>9</v>
      </c>
      <c r="D806">
        <v>5</v>
      </c>
      <c r="E806">
        <v>8444</v>
      </c>
      <c r="F806">
        <v>20369</v>
      </c>
      <c r="G806" t="s">
        <v>10</v>
      </c>
      <c r="H806" t="str">
        <f>TEXT(CleanData[[#This Row],[Date]],"mmm")</f>
        <v>Mar</v>
      </c>
      <c r="I806">
        <f>WEEKNUM(CleanData[[#This Row],[Date]])</f>
        <v>12</v>
      </c>
      <c r="J806">
        <f>IF(CleanData[[#This Row],[Revenue]]&gt;=CleanData[[#This Row],[Target]],1,0)</f>
        <v>0</v>
      </c>
      <c r="K806">
        <f>IF(CleanData[[#This Row],[Attendance_Status]]="Present",1,0)</f>
        <v>1</v>
      </c>
    </row>
    <row r="807" spans="1:11" x14ac:dyDescent="0.3">
      <c r="A807" t="s">
        <v>49</v>
      </c>
      <c r="B807" t="s">
        <v>35</v>
      </c>
      <c r="C807" t="s">
        <v>9</v>
      </c>
      <c r="D807">
        <v>10</v>
      </c>
      <c r="E807">
        <v>25795</v>
      </c>
      <c r="F807">
        <v>11599</v>
      </c>
      <c r="G807" t="s">
        <v>10</v>
      </c>
      <c r="H807" t="str">
        <f>TEXT(CleanData[[#This Row],[Date]],"mmm")</f>
        <v>Mar</v>
      </c>
      <c r="I807">
        <f>WEEKNUM(CleanData[[#This Row],[Date]])</f>
        <v>10</v>
      </c>
      <c r="J807">
        <f>IF(CleanData[[#This Row],[Revenue]]&gt;=CleanData[[#This Row],[Target]],1,0)</f>
        <v>1</v>
      </c>
      <c r="K807">
        <f>IF(CleanData[[#This Row],[Attendance_Status]]="Present",1,0)</f>
        <v>1</v>
      </c>
    </row>
    <row r="808" spans="1:11" x14ac:dyDescent="0.3">
      <c r="A808" t="s">
        <v>184</v>
      </c>
      <c r="B808" t="s">
        <v>56</v>
      </c>
      <c r="C808" t="s">
        <v>22</v>
      </c>
      <c r="D808">
        <v>8</v>
      </c>
      <c r="E808">
        <v>28214</v>
      </c>
      <c r="F808">
        <v>19438</v>
      </c>
      <c r="G808" t="s">
        <v>26</v>
      </c>
      <c r="H808" t="str">
        <f>TEXT(CleanData[[#This Row],[Date]],"mmm")</f>
        <v>Apr</v>
      </c>
      <c r="I808">
        <f>WEEKNUM(CleanData[[#This Row],[Date]])</f>
        <v>17</v>
      </c>
      <c r="J808">
        <f>IF(CleanData[[#This Row],[Revenue]]&gt;=CleanData[[#This Row],[Target]],1,0)</f>
        <v>1</v>
      </c>
      <c r="K808">
        <f>IF(CleanData[[#This Row],[Attendance_Status]]="Present",1,0)</f>
        <v>0</v>
      </c>
    </row>
    <row r="809" spans="1:11" x14ac:dyDescent="0.3">
      <c r="A809" t="s">
        <v>115</v>
      </c>
      <c r="B809" t="s">
        <v>54</v>
      </c>
      <c r="C809" t="s">
        <v>9</v>
      </c>
      <c r="D809">
        <v>7</v>
      </c>
      <c r="E809">
        <v>17068</v>
      </c>
      <c r="F809">
        <v>21709</v>
      </c>
      <c r="G809" t="s">
        <v>10</v>
      </c>
      <c r="H809" t="str">
        <f>TEXT(CleanData[[#This Row],[Date]],"mmm")</f>
        <v>Jan</v>
      </c>
      <c r="I809">
        <f>WEEKNUM(CleanData[[#This Row],[Date]])</f>
        <v>3</v>
      </c>
      <c r="J809">
        <f>IF(CleanData[[#This Row],[Revenue]]&gt;=CleanData[[#This Row],[Target]],1,0)</f>
        <v>0</v>
      </c>
      <c r="K809">
        <f>IF(CleanData[[#This Row],[Attendance_Status]]="Present",1,0)</f>
        <v>1</v>
      </c>
    </row>
    <row r="810" spans="1:11" x14ac:dyDescent="0.3">
      <c r="A810" t="s">
        <v>204</v>
      </c>
      <c r="B810" t="s">
        <v>56</v>
      </c>
      <c r="C810" t="s">
        <v>9</v>
      </c>
      <c r="D810">
        <v>13</v>
      </c>
      <c r="E810">
        <v>27055</v>
      </c>
      <c r="F810">
        <v>10907</v>
      </c>
      <c r="G810" t="s">
        <v>10</v>
      </c>
      <c r="H810" t="str">
        <f>TEXT(CleanData[[#This Row],[Date]],"mmm")</f>
        <v>Jun</v>
      </c>
      <c r="I810">
        <f>WEEKNUM(CleanData[[#This Row],[Date]])</f>
        <v>26</v>
      </c>
      <c r="J810">
        <f>IF(CleanData[[#This Row],[Revenue]]&gt;=CleanData[[#This Row],[Target]],1,0)</f>
        <v>1</v>
      </c>
      <c r="K810">
        <f>IF(CleanData[[#This Row],[Attendance_Status]]="Present",1,0)</f>
        <v>1</v>
      </c>
    </row>
    <row r="811" spans="1:11" x14ac:dyDescent="0.3">
      <c r="A811" t="s">
        <v>143</v>
      </c>
      <c r="B811" t="s">
        <v>101</v>
      </c>
      <c r="C811" t="s">
        <v>13</v>
      </c>
      <c r="D811">
        <v>8</v>
      </c>
      <c r="E811">
        <v>10441</v>
      </c>
      <c r="F811">
        <v>19775</v>
      </c>
      <c r="G811" t="s">
        <v>10</v>
      </c>
      <c r="H811" t="str">
        <f>TEXT(CleanData[[#This Row],[Date]],"mmm")</f>
        <v>Jan</v>
      </c>
      <c r="I811">
        <f>WEEKNUM(CleanData[[#This Row],[Date]])</f>
        <v>2</v>
      </c>
      <c r="J811">
        <f>IF(CleanData[[#This Row],[Revenue]]&gt;=CleanData[[#This Row],[Target]],1,0)</f>
        <v>0</v>
      </c>
      <c r="K811">
        <f>IF(CleanData[[#This Row],[Attendance_Status]]="Present",1,0)</f>
        <v>1</v>
      </c>
    </row>
    <row r="812" spans="1:11" x14ac:dyDescent="0.3">
      <c r="A812" t="s">
        <v>108</v>
      </c>
      <c r="B812" t="s">
        <v>50</v>
      </c>
      <c r="C812" t="s">
        <v>22</v>
      </c>
      <c r="D812">
        <v>5</v>
      </c>
      <c r="E812">
        <v>15109</v>
      </c>
      <c r="F812">
        <v>12313</v>
      </c>
      <c r="G812" t="s">
        <v>10</v>
      </c>
      <c r="H812" t="str">
        <f>TEXT(CleanData[[#This Row],[Date]],"mmm")</f>
        <v>Apr</v>
      </c>
      <c r="I812">
        <f>WEEKNUM(CleanData[[#This Row],[Date]])</f>
        <v>15</v>
      </c>
      <c r="J812">
        <f>IF(CleanData[[#This Row],[Revenue]]&gt;=CleanData[[#This Row],[Target]],1,0)</f>
        <v>1</v>
      </c>
      <c r="K812">
        <f>IF(CleanData[[#This Row],[Attendance_Status]]="Present",1,0)</f>
        <v>1</v>
      </c>
    </row>
    <row r="813" spans="1:11" x14ac:dyDescent="0.3">
      <c r="A813" t="s">
        <v>152</v>
      </c>
      <c r="B813" t="s">
        <v>101</v>
      </c>
      <c r="C813" t="s">
        <v>9</v>
      </c>
      <c r="D813">
        <v>13</v>
      </c>
      <c r="E813">
        <v>25889</v>
      </c>
      <c r="F813">
        <v>17711</v>
      </c>
      <c r="G813" t="s">
        <v>26</v>
      </c>
      <c r="H813" t="str">
        <f>TEXT(CleanData[[#This Row],[Date]],"mmm")</f>
        <v>Jan</v>
      </c>
      <c r="I813">
        <f>WEEKNUM(CleanData[[#This Row],[Date]])</f>
        <v>2</v>
      </c>
      <c r="J813">
        <f>IF(CleanData[[#This Row],[Revenue]]&gt;=CleanData[[#This Row],[Target]],1,0)</f>
        <v>1</v>
      </c>
      <c r="K813">
        <f>IF(CleanData[[#This Row],[Attendance_Status]]="Present",1,0)</f>
        <v>0</v>
      </c>
    </row>
    <row r="814" spans="1:11" x14ac:dyDescent="0.3">
      <c r="A814" t="s">
        <v>188</v>
      </c>
      <c r="B814" t="s">
        <v>21</v>
      </c>
      <c r="C814" t="s">
        <v>13</v>
      </c>
      <c r="D814">
        <v>11</v>
      </c>
      <c r="E814">
        <v>28481</v>
      </c>
      <c r="F814">
        <v>21473</v>
      </c>
      <c r="G814" t="s">
        <v>10</v>
      </c>
      <c r="H814" t="str">
        <f>TEXT(CleanData[[#This Row],[Date]],"mmm")</f>
        <v>May</v>
      </c>
      <c r="I814">
        <f>WEEKNUM(CleanData[[#This Row],[Date]])</f>
        <v>19</v>
      </c>
      <c r="J814">
        <f>IF(CleanData[[#This Row],[Revenue]]&gt;=CleanData[[#This Row],[Target]],1,0)</f>
        <v>1</v>
      </c>
      <c r="K814">
        <f>IF(CleanData[[#This Row],[Attendance_Status]]="Present",1,0)</f>
        <v>1</v>
      </c>
    </row>
    <row r="815" spans="1:11" x14ac:dyDescent="0.3">
      <c r="A815" t="s">
        <v>59</v>
      </c>
      <c r="B815" t="s">
        <v>15</v>
      </c>
      <c r="C815" t="s">
        <v>9</v>
      </c>
      <c r="D815">
        <v>22</v>
      </c>
      <c r="E815">
        <v>22452</v>
      </c>
      <c r="F815">
        <v>17068</v>
      </c>
      <c r="G815" t="s">
        <v>10</v>
      </c>
      <c r="H815" t="str">
        <f>TEXT(CleanData[[#This Row],[Date]],"mmm")</f>
        <v>Mar</v>
      </c>
      <c r="I815">
        <f>WEEKNUM(CleanData[[#This Row],[Date]])</f>
        <v>12</v>
      </c>
      <c r="J815">
        <f>IF(CleanData[[#This Row],[Revenue]]&gt;=CleanData[[#This Row],[Target]],1,0)</f>
        <v>1</v>
      </c>
      <c r="K815">
        <f>IF(CleanData[[#This Row],[Attendance_Status]]="Present",1,0)</f>
        <v>1</v>
      </c>
    </row>
    <row r="816" spans="1:11" x14ac:dyDescent="0.3">
      <c r="A816" t="s">
        <v>24</v>
      </c>
      <c r="B816" t="s">
        <v>120</v>
      </c>
      <c r="C816" t="s">
        <v>22</v>
      </c>
      <c r="D816">
        <v>18</v>
      </c>
      <c r="E816">
        <v>21474</v>
      </c>
      <c r="F816">
        <v>11417</v>
      </c>
      <c r="G816" t="s">
        <v>10</v>
      </c>
      <c r="H816" t="str">
        <f>TEXT(CleanData[[#This Row],[Date]],"mmm")</f>
        <v>May</v>
      </c>
      <c r="I816">
        <f>WEEKNUM(CleanData[[#This Row],[Date]])</f>
        <v>20</v>
      </c>
      <c r="J816">
        <f>IF(CleanData[[#This Row],[Revenue]]&gt;=CleanData[[#This Row],[Target]],1,0)</f>
        <v>1</v>
      </c>
      <c r="K816">
        <f>IF(CleanData[[#This Row],[Attendance_Status]]="Present",1,0)</f>
        <v>1</v>
      </c>
    </row>
    <row r="817" spans="1:11" x14ac:dyDescent="0.3">
      <c r="A817" t="s">
        <v>95</v>
      </c>
      <c r="B817" t="s">
        <v>52</v>
      </c>
      <c r="C817" t="s">
        <v>9</v>
      </c>
      <c r="D817">
        <v>12</v>
      </c>
      <c r="E817">
        <v>19823</v>
      </c>
      <c r="F817">
        <v>19856</v>
      </c>
      <c r="G817" t="s">
        <v>10</v>
      </c>
      <c r="H817" t="str">
        <f>TEXT(CleanData[[#This Row],[Date]],"mmm")</f>
        <v>May</v>
      </c>
      <c r="I817">
        <f>WEEKNUM(CleanData[[#This Row],[Date]])</f>
        <v>20</v>
      </c>
      <c r="J817">
        <f>IF(CleanData[[#This Row],[Revenue]]&gt;=CleanData[[#This Row],[Target]],1,0)</f>
        <v>0</v>
      </c>
      <c r="K817">
        <f>IF(CleanData[[#This Row],[Attendance_Status]]="Present",1,0)</f>
        <v>1</v>
      </c>
    </row>
    <row r="818" spans="1:11" x14ac:dyDescent="0.3">
      <c r="A818" t="s">
        <v>167</v>
      </c>
      <c r="B818" t="s">
        <v>12</v>
      </c>
      <c r="C818" t="s">
        <v>13</v>
      </c>
      <c r="D818">
        <v>18</v>
      </c>
      <c r="E818">
        <v>26346</v>
      </c>
      <c r="F818">
        <v>22662</v>
      </c>
      <c r="G818" t="s">
        <v>10</v>
      </c>
      <c r="H818" t="str">
        <f>TEXT(CleanData[[#This Row],[Date]],"mmm")</f>
        <v>May</v>
      </c>
      <c r="I818">
        <f>WEEKNUM(CleanData[[#This Row],[Date]])</f>
        <v>19</v>
      </c>
      <c r="J818">
        <f>IF(CleanData[[#This Row],[Revenue]]&gt;=CleanData[[#This Row],[Target]],1,0)</f>
        <v>1</v>
      </c>
      <c r="K818">
        <f>IF(CleanData[[#This Row],[Attendance_Status]]="Present",1,0)</f>
        <v>1</v>
      </c>
    </row>
    <row r="819" spans="1:11" x14ac:dyDescent="0.3">
      <c r="A819" t="s">
        <v>45</v>
      </c>
      <c r="B819" t="s">
        <v>75</v>
      </c>
      <c r="C819" t="s">
        <v>13</v>
      </c>
      <c r="D819">
        <v>20</v>
      </c>
      <c r="E819">
        <v>13528</v>
      </c>
      <c r="F819">
        <v>17130</v>
      </c>
      <c r="G819" t="s">
        <v>26</v>
      </c>
      <c r="H819" t="str">
        <f>TEXT(CleanData[[#This Row],[Date]],"mmm")</f>
        <v>Jun</v>
      </c>
      <c r="I819">
        <f>WEEKNUM(CleanData[[#This Row],[Date]])</f>
        <v>25</v>
      </c>
      <c r="J819">
        <f>IF(CleanData[[#This Row],[Revenue]]&gt;=CleanData[[#This Row],[Target]],1,0)</f>
        <v>0</v>
      </c>
      <c r="K819">
        <f>IF(CleanData[[#This Row],[Attendance_Status]]="Present",1,0)</f>
        <v>0</v>
      </c>
    </row>
    <row r="820" spans="1:11" x14ac:dyDescent="0.3">
      <c r="A820" t="s">
        <v>215</v>
      </c>
      <c r="B820" t="s">
        <v>64</v>
      </c>
      <c r="C820" t="s">
        <v>13</v>
      </c>
      <c r="D820">
        <v>21</v>
      </c>
      <c r="E820">
        <v>7363</v>
      </c>
      <c r="F820">
        <v>18603</v>
      </c>
      <c r="G820" t="s">
        <v>10</v>
      </c>
      <c r="H820" t="str">
        <f>TEXT(CleanData[[#This Row],[Date]],"mmm")</f>
        <v>Jan</v>
      </c>
      <c r="I820">
        <f>WEEKNUM(CleanData[[#This Row],[Date]])</f>
        <v>3</v>
      </c>
      <c r="J820">
        <f>IF(CleanData[[#This Row],[Revenue]]&gt;=CleanData[[#This Row],[Target]],1,0)</f>
        <v>0</v>
      </c>
      <c r="K820">
        <f>IF(CleanData[[#This Row],[Attendance_Status]]="Present",1,0)</f>
        <v>1</v>
      </c>
    </row>
    <row r="821" spans="1:11" x14ac:dyDescent="0.3">
      <c r="A821" t="s">
        <v>44</v>
      </c>
      <c r="B821" t="s">
        <v>8</v>
      </c>
      <c r="C821" t="s">
        <v>9</v>
      </c>
      <c r="D821">
        <v>23</v>
      </c>
      <c r="E821">
        <v>15508</v>
      </c>
      <c r="F821">
        <v>19633</v>
      </c>
      <c r="G821" t="s">
        <v>10</v>
      </c>
      <c r="H821" t="str">
        <f>TEXT(CleanData[[#This Row],[Date]],"mmm")</f>
        <v>Mar</v>
      </c>
      <c r="I821">
        <f>WEEKNUM(CleanData[[#This Row],[Date]])</f>
        <v>13</v>
      </c>
      <c r="J821">
        <f>IF(CleanData[[#This Row],[Revenue]]&gt;=CleanData[[#This Row],[Target]],1,0)</f>
        <v>0</v>
      </c>
      <c r="K821">
        <f>IF(CleanData[[#This Row],[Attendance_Status]]="Present",1,0)</f>
        <v>1</v>
      </c>
    </row>
    <row r="822" spans="1:11" x14ac:dyDescent="0.3">
      <c r="A822" t="s">
        <v>156</v>
      </c>
      <c r="B822" t="s">
        <v>101</v>
      </c>
      <c r="C822" t="s">
        <v>9</v>
      </c>
      <c r="D822">
        <v>18</v>
      </c>
      <c r="E822">
        <v>28188</v>
      </c>
      <c r="F822">
        <v>23430</v>
      </c>
      <c r="G822" t="s">
        <v>10</v>
      </c>
      <c r="H822" t="str">
        <f>TEXT(CleanData[[#This Row],[Date]],"mmm")</f>
        <v>Jan</v>
      </c>
      <c r="I822">
        <f>WEEKNUM(CleanData[[#This Row],[Date]])</f>
        <v>1</v>
      </c>
      <c r="J822">
        <f>IF(CleanData[[#This Row],[Revenue]]&gt;=CleanData[[#This Row],[Target]],1,0)</f>
        <v>1</v>
      </c>
      <c r="K822">
        <f>IF(CleanData[[#This Row],[Attendance_Status]]="Present",1,0)</f>
        <v>1</v>
      </c>
    </row>
    <row r="823" spans="1:11" x14ac:dyDescent="0.3">
      <c r="A823" t="s">
        <v>76</v>
      </c>
      <c r="B823" t="s">
        <v>67</v>
      </c>
      <c r="C823" t="s">
        <v>22</v>
      </c>
      <c r="D823">
        <v>18</v>
      </c>
      <c r="E823">
        <v>17111</v>
      </c>
      <c r="F823">
        <v>20437</v>
      </c>
      <c r="G823" t="s">
        <v>10</v>
      </c>
      <c r="H823" t="str">
        <f>TEXT(CleanData[[#This Row],[Date]],"mmm")</f>
        <v>Feb</v>
      </c>
      <c r="I823">
        <f>WEEKNUM(CleanData[[#This Row],[Date]])</f>
        <v>9</v>
      </c>
      <c r="J823">
        <f>IF(CleanData[[#This Row],[Revenue]]&gt;=CleanData[[#This Row],[Target]],1,0)</f>
        <v>0</v>
      </c>
      <c r="K823">
        <f>IF(CleanData[[#This Row],[Attendance_Status]]="Present",1,0)</f>
        <v>1</v>
      </c>
    </row>
    <row r="824" spans="1:11" x14ac:dyDescent="0.3">
      <c r="A824" t="s">
        <v>194</v>
      </c>
      <c r="B824" t="s">
        <v>8</v>
      </c>
      <c r="C824" t="s">
        <v>13</v>
      </c>
      <c r="D824">
        <v>14</v>
      </c>
      <c r="E824">
        <v>6920</v>
      </c>
      <c r="F824">
        <v>16359</v>
      </c>
      <c r="G824" t="s">
        <v>10</v>
      </c>
      <c r="H824" t="str">
        <f>TEXT(CleanData[[#This Row],[Date]],"mmm")</f>
        <v>Jan</v>
      </c>
      <c r="I824">
        <f>WEEKNUM(CleanData[[#This Row],[Date]])</f>
        <v>5</v>
      </c>
      <c r="J824">
        <f>IF(CleanData[[#This Row],[Revenue]]&gt;=CleanData[[#This Row],[Target]],1,0)</f>
        <v>0</v>
      </c>
      <c r="K824">
        <f>IF(CleanData[[#This Row],[Attendance_Status]]="Present",1,0)</f>
        <v>1</v>
      </c>
    </row>
    <row r="825" spans="1:11" x14ac:dyDescent="0.3">
      <c r="A825" t="s">
        <v>209</v>
      </c>
      <c r="B825" t="s">
        <v>27</v>
      </c>
      <c r="C825" t="s">
        <v>9</v>
      </c>
      <c r="D825">
        <v>16</v>
      </c>
      <c r="E825">
        <v>5657</v>
      </c>
      <c r="F825">
        <v>12347</v>
      </c>
      <c r="G825" t="s">
        <v>10</v>
      </c>
      <c r="H825" t="str">
        <f>TEXT(CleanData[[#This Row],[Date]],"mmm")</f>
        <v>Feb</v>
      </c>
      <c r="I825">
        <f>WEEKNUM(CleanData[[#This Row],[Date]])</f>
        <v>5</v>
      </c>
      <c r="J825">
        <f>IF(CleanData[[#This Row],[Revenue]]&gt;=CleanData[[#This Row],[Target]],1,0)</f>
        <v>0</v>
      </c>
      <c r="K825">
        <f>IF(CleanData[[#This Row],[Attendance_Status]]="Present",1,0)</f>
        <v>1</v>
      </c>
    </row>
    <row r="826" spans="1:11" x14ac:dyDescent="0.3">
      <c r="A826" t="s">
        <v>209</v>
      </c>
      <c r="B826" t="s">
        <v>52</v>
      </c>
      <c r="C826" t="s">
        <v>22</v>
      </c>
      <c r="D826">
        <v>16</v>
      </c>
      <c r="E826">
        <v>20584</v>
      </c>
      <c r="F826">
        <v>17304</v>
      </c>
      <c r="G826" t="s">
        <v>10</v>
      </c>
      <c r="H826" t="str">
        <f>TEXT(CleanData[[#This Row],[Date]],"mmm")</f>
        <v>Feb</v>
      </c>
      <c r="I826">
        <f>WEEKNUM(CleanData[[#This Row],[Date]])</f>
        <v>5</v>
      </c>
      <c r="J826">
        <f>IF(CleanData[[#This Row],[Revenue]]&gt;=CleanData[[#This Row],[Target]],1,0)</f>
        <v>1</v>
      </c>
      <c r="K826">
        <f>IF(CleanData[[#This Row],[Attendance_Status]]="Present",1,0)</f>
        <v>1</v>
      </c>
    </row>
    <row r="827" spans="1:11" x14ac:dyDescent="0.3">
      <c r="A827" t="s">
        <v>114</v>
      </c>
      <c r="B827" t="s">
        <v>48</v>
      </c>
      <c r="C827" t="s">
        <v>9</v>
      </c>
      <c r="D827">
        <v>21</v>
      </c>
      <c r="E827">
        <v>20104</v>
      </c>
      <c r="F827">
        <v>14010</v>
      </c>
      <c r="G827" t="s">
        <v>10</v>
      </c>
      <c r="H827" t="str">
        <f>TEXT(CleanData[[#This Row],[Date]],"mmm")</f>
        <v>May</v>
      </c>
      <c r="I827">
        <f>WEEKNUM(CleanData[[#This Row],[Date]])</f>
        <v>20</v>
      </c>
      <c r="J827">
        <f>IF(CleanData[[#This Row],[Revenue]]&gt;=CleanData[[#This Row],[Target]],1,0)</f>
        <v>1</v>
      </c>
      <c r="K827">
        <f>IF(CleanData[[#This Row],[Attendance_Status]]="Present",1,0)</f>
        <v>1</v>
      </c>
    </row>
    <row r="828" spans="1:11" x14ac:dyDescent="0.3">
      <c r="A828" t="s">
        <v>162</v>
      </c>
      <c r="B828" t="s">
        <v>37</v>
      </c>
      <c r="C828" t="s">
        <v>9</v>
      </c>
      <c r="D828">
        <v>8</v>
      </c>
      <c r="E828">
        <v>10223</v>
      </c>
      <c r="F828">
        <v>24710</v>
      </c>
      <c r="G828" t="s">
        <v>10</v>
      </c>
      <c r="H828" t="str">
        <f>TEXT(CleanData[[#This Row],[Date]],"mmm")</f>
        <v>Apr</v>
      </c>
      <c r="I828">
        <f>WEEKNUM(CleanData[[#This Row],[Date]])</f>
        <v>17</v>
      </c>
      <c r="J828">
        <f>IF(CleanData[[#This Row],[Revenue]]&gt;=CleanData[[#This Row],[Target]],1,0)</f>
        <v>0</v>
      </c>
      <c r="K828">
        <f>IF(CleanData[[#This Row],[Attendance_Status]]="Present",1,0)</f>
        <v>1</v>
      </c>
    </row>
    <row r="829" spans="1:11" x14ac:dyDescent="0.3">
      <c r="A829" t="s">
        <v>185</v>
      </c>
      <c r="B829" t="s">
        <v>33</v>
      </c>
      <c r="C829" t="s">
        <v>9</v>
      </c>
      <c r="D829">
        <v>21</v>
      </c>
      <c r="E829">
        <v>29192</v>
      </c>
      <c r="F829">
        <v>19797</v>
      </c>
      <c r="G829" t="s">
        <v>10</v>
      </c>
      <c r="H829" t="str">
        <f>TEXT(CleanData[[#This Row],[Date]],"mmm")</f>
        <v>Feb</v>
      </c>
      <c r="I829">
        <f>WEEKNUM(CleanData[[#This Row],[Date]])</f>
        <v>8</v>
      </c>
      <c r="J829">
        <f>IF(CleanData[[#This Row],[Revenue]]&gt;=CleanData[[#This Row],[Target]],1,0)</f>
        <v>1</v>
      </c>
      <c r="K829">
        <f>IF(CleanData[[#This Row],[Attendance_Status]]="Present",1,0)</f>
        <v>1</v>
      </c>
    </row>
    <row r="830" spans="1:11" x14ac:dyDescent="0.3">
      <c r="A830" t="s">
        <v>60</v>
      </c>
      <c r="B830" t="s">
        <v>19</v>
      </c>
      <c r="C830" t="s">
        <v>9</v>
      </c>
      <c r="D830">
        <v>9</v>
      </c>
      <c r="E830">
        <v>16669</v>
      </c>
      <c r="F830">
        <v>15719</v>
      </c>
      <c r="G830" t="s">
        <v>10</v>
      </c>
      <c r="H830" t="str">
        <f>TEXT(CleanData[[#This Row],[Date]],"mmm")</f>
        <v>May</v>
      </c>
      <c r="I830">
        <f>WEEKNUM(CleanData[[#This Row],[Date]])</f>
        <v>18</v>
      </c>
      <c r="J830">
        <f>IF(CleanData[[#This Row],[Revenue]]&gt;=CleanData[[#This Row],[Target]],1,0)</f>
        <v>1</v>
      </c>
      <c r="K830">
        <f>IF(CleanData[[#This Row],[Attendance_Status]]="Present",1,0)</f>
        <v>1</v>
      </c>
    </row>
    <row r="831" spans="1:11" x14ac:dyDescent="0.3">
      <c r="A831" t="s">
        <v>146</v>
      </c>
      <c r="B831" t="s">
        <v>31</v>
      </c>
      <c r="C831" t="s">
        <v>9</v>
      </c>
      <c r="D831">
        <v>11</v>
      </c>
      <c r="E831">
        <v>12626</v>
      </c>
      <c r="F831">
        <v>24114</v>
      </c>
      <c r="G831" t="s">
        <v>10</v>
      </c>
      <c r="H831" t="str">
        <f>TEXT(CleanData[[#This Row],[Date]],"mmm")</f>
        <v>Feb</v>
      </c>
      <c r="I831">
        <f>WEEKNUM(CleanData[[#This Row],[Date]])</f>
        <v>8</v>
      </c>
      <c r="J831">
        <f>IF(CleanData[[#This Row],[Revenue]]&gt;=CleanData[[#This Row],[Target]],1,0)</f>
        <v>0</v>
      </c>
      <c r="K831">
        <f>IF(CleanData[[#This Row],[Attendance_Status]]="Present",1,0)</f>
        <v>1</v>
      </c>
    </row>
    <row r="832" spans="1:11" x14ac:dyDescent="0.3">
      <c r="A832" t="s">
        <v>74</v>
      </c>
      <c r="B832" t="s">
        <v>15</v>
      </c>
      <c r="C832" t="s">
        <v>9</v>
      </c>
      <c r="D832">
        <v>13</v>
      </c>
      <c r="E832">
        <v>10921</v>
      </c>
      <c r="F832">
        <v>11652</v>
      </c>
      <c r="G832" t="s">
        <v>26</v>
      </c>
      <c r="H832" t="str">
        <f>TEXT(CleanData[[#This Row],[Date]],"mmm")</f>
        <v>Jun</v>
      </c>
      <c r="I832">
        <f>WEEKNUM(CleanData[[#This Row],[Date]])</f>
        <v>26</v>
      </c>
      <c r="J832">
        <f>IF(CleanData[[#This Row],[Revenue]]&gt;=CleanData[[#This Row],[Target]],1,0)</f>
        <v>0</v>
      </c>
      <c r="K832">
        <f>IF(CleanData[[#This Row],[Attendance_Status]]="Present",1,0)</f>
        <v>0</v>
      </c>
    </row>
    <row r="833" spans="1:11" x14ac:dyDescent="0.3">
      <c r="A833" t="s">
        <v>119</v>
      </c>
      <c r="B833" t="s">
        <v>64</v>
      </c>
      <c r="C833" t="s">
        <v>13</v>
      </c>
      <c r="D833">
        <v>17</v>
      </c>
      <c r="E833">
        <v>20709</v>
      </c>
      <c r="F833">
        <v>12429</v>
      </c>
      <c r="G833" t="s">
        <v>10</v>
      </c>
      <c r="H833" t="str">
        <f>TEXT(CleanData[[#This Row],[Date]],"mmm")</f>
        <v>Jan</v>
      </c>
      <c r="I833">
        <f>WEEKNUM(CleanData[[#This Row],[Date]])</f>
        <v>4</v>
      </c>
      <c r="J833">
        <f>IF(CleanData[[#This Row],[Revenue]]&gt;=CleanData[[#This Row],[Target]],1,0)</f>
        <v>1</v>
      </c>
      <c r="K833">
        <f>IF(CleanData[[#This Row],[Attendance_Status]]="Present",1,0)</f>
        <v>1</v>
      </c>
    </row>
    <row r="834" spans="1:11" x14ac:dyDescent="0.3">
      <c r="A834" t="s">
        <v>130</v>
      </c>
      <c r="B834" t="s">
        <v>48</v>
      </c>
      <c r="C834" t="s">
        <v>22</v>
      </c>
      <c r="D834">
        <v>5</v>
      </c>
      <c r="E834">
        <v>6785</v>
      </c>
      <c r="F834">
        <v>21042</v>
      </c>
      <c r="G834" t="s">
        <v>10</v>
      </c>
      <c r="H834" t="str">
        <f>TEXT(CleanData[[#This Row],[Date]],"mmm")</f>
        <v>May</v>
      </c>
      <c r="I834">
        <f>WEEKNUM(CleanData[[#This Row],[Date]])</f>
        <v>20</v>
      </c>
      <c r="J834">
        <f>IF(CleanData[[#This Row],[Revenue]]&gt;=CleanData[[#This Row],[Target]],1,0)</f>
        <v>0</v>
      </c>
      <c r="K834">
        <f>IF(CleanData[[#This Row],[Attendance_Status]]="Present",1,0)</f>
        <v>1</v>
      </c>
    </row>
    <row r="835" spans="1:11" x14ac:dyDescent="0.3">
      <c r="A835" t="s">
        <v>215</v>
      </c>
      <c r="B835" t="s">
        <v>35</v>
      </c>
      <c r="C835" t="s">
        <v>13</v>
      </c>
      <c r="D835">
        <v>16</v>
      </c>
      <c r="E835">
        <v>22868</v>
      </c>
      <c r="F835">
        <v>24544</v>
      </c>
      <c r="G835" t="s">
        <v>10</v>
      </c>
      <c r="H835" t="str">
        <f>TEXT(CleanData[[#This Row],[Date]],"mmm")</f>
        <v>Jan</v>
      </c>
      <c r="I835">
        <f>WEEKNUM(CleanData[[#This Row],[Date]])</f>
        <v>3</v>
      </c>
      <c r="J835">
        <f>IF(CleanData[[#This Row],[Revenue]]&gt;=CleanData[[#This Row],[Target]],1,0)</f>
        <v>0</v>
      </c>
      <c r="K835">
        <f>IF(CleanData[[#This Row],[Attendance_Status]]="Present",1,0)</f>
        <v>1</v>
      </c>
    </row>
    <row r="836" spans="1:11" x14ac:dyDescent="0.3">
      <c r="A836" t="s">
        <v>159</v>
      </c>
      <c r="B836" t="s">
        <v>52</v>
      </c>
      <c r="C836" t="s">
        <v>13</v>
      </c>
      <c r="D836">
        <v>15</v>
      </c>
      <c r="E836">
        <v>25923</v>
      </c>
      <c r="F836">
        <v>23863</v>
      </c>
      <c r="G836" t="s">
        <v>10</v>
      </c>
      <c r="H836" t="str">
        <f>TEXT(CleanData[[#This Row],[Date]],"mmm")</f>
        <v>May</v>
      </c>
      <c r="I836">
        <f>WEEKNUM(CleanData[[#This Row],[Date]])</f>
        <v>18</v>
      </c>
      <c r="J836">
        <f>IF(CleanData[[#This Row],[Revenue]]&gt;=CleanData[[#This Row],[Target]],1,0)</f>
        <v>1</v>
      </c>
      <c r="K836">
        <f>IF(CleanData[[#This Row],[Attendance_Status]]="Present",1,0)</f>
        <v>1</v>
      </c>
    </row>
    <row r="837" spans="1:11" x14ac:dyDescent="0.3">
      <c r="A837" t="s">
        <v>181</v>
      </c>
      <c r="B837" t="s">
        <v>79</v>
      </c>
      <c r="C837" t="s">
        <v>9</v>
      </c>
      <c r="D837">
        <v>6</v>
      </c>
      <c r="E837">
        <v>15695</v>
      </c>
      <c r="F837">
        <v>18394</v>
      </c>
      <c r="G837" t="s">
        <v>10</v>
      </c>
      <c r="H837" t="str">
        <f>TEXT(CleanData[[#This Row],[Date]],"mmm")</f>
        <v>May</v>
      </c>
      <c r="I837">
        <f>WEEKNUM(CleanData[[#This Row],[Date]])</f>
        <v>19</v>
      </c>
      <c r="J837">
        <f>IF(CleanData[[#This Row],[Revenue]]&gt;=CleanData[[#This Row],[Target]],1,0)</f>
        <v>0</v>
      </c>
      <c r="K837">
        <f>IF(CleanData[[#This Row],[Attendance_Status]]="Present",1,0)</f>
        <v>1</v>
      </c>
    </row>
    <row r="838" spans="1:11" x14ac:dyDescent="0.3">
      <c r="A838" t="s">
        <v>129</v>
      </c>
      <c r="B838" t="s">
        <v>48</v>
      </c>
      <c r="C838" t="s">
        <v>9</v>
      </c>
      <c r="D838">
        <v>20</v>
      </c>
      <c r="E838">
        <v>5128</v>
      </c>
      <c r="F838">
        <v>11484</v>
      </c>
      <c r="G838" t="s">
        <v>10</v>
      </c>
      <c r="H838" t="str">
        <f>TEXT(CleanData[[#This Row],[Date]],"mmm")</f>
        <v>Apr</v>
      </c>
      <c r="I838">
        <f>WEEKNUM(CleanData[[#This Row],[Date]])</f>
        <v>17</v>
      </c>
      <c r="J838">
        <f>IF(CleanData[[#This Row],[Revenue]]&gt;=CleanData[[#This Row],[Target]],1,0)</f>
        <v>0</v>
      </c>
      <c r="K838">
        <f>IF(CleanData[[#This Row],[Attendance_Status]]="Present",1,0)</f>
        <v>1</v>
      </c>
    </row>
    <row r="839" spans="1:11" x14ac:dyDescent="0.3">
      <c r="A839" t="s">
        <v>57</v>
      </c>
      <c r="B839" t="s">
        <v>42</v>
      </c>
      <c r="C839" t="s">
        <v>22</v>
      </c>
      <c r="D839">
        <v>16</v>
      </c>
      <c r="E839">
        <v>21618</v>
      </c>
      <c r="F839">
        <v>11669</v>
      </c>
      <c r="G839" t="s">
        <v>10</v>
      </c>
      <c r="H839" t="str">
        <f>TEXT(CleanData[[#This Row],[Date]],"mmm")</f>
        <v>Jun</v>
      </c>
      <c r="I839">
        <f>WEEKNUM(CleanData[[#This Row],[Date]])</f>
        <v>25</v>
      </c>
      <c r="J839">
        <f>IF(CleanData[[#This Row],[Revenue]]&gt;=CleanData[[#This Row],[Target]],1,0)</f>
        <v>1</v>
      </c>
      <c r="K839">
        <f>IF(CleanData[[#This Row],[Attendance_Status]]="Present",1,0)</f>
        <v>1</v>
      </c>
    </row>
    <row r="840" spans="1:11" x14ac:dyDescent="0.3">
      <c r="A840" t="s">
        <v>68</v>
      </c>
      <c r="B840" t="s">
        <v>15</v>
      </c>
      <c r="C840" t="s">
        <v>9</v>
      </c>
      <c r="D840">
        <v>20</v>
      </c>
      <c r="E840">
        <v>14545</v>
      </c>
      <c r="F840">
        <v>18265</v>
      </c>
      <c r="G840" t="s">
        <v>10</v>
      </c>
      <c r="H840" t="str">
        <f>TEXT(CleanData[[#This Row],[Date]],"mmm")</f>
        <v>Jun</v>
      </c>
      <c r="I840">
        <f>WEEKNUM(CleanData[[#This Row],[Date]])</f>
        <v>25</v>
      </c>
      <c r="J840">
        <f>IF(CleanData[[#This Row],[Revenue]]&gt;=CleanData[[#This Row],[Target]],1,0)</f>
        <v>0</v>
      </c>
      <c r="K840">
        <f>IF(CleanData[[#This Row],[Attendance_Status]]="Present",1,0)</f>
        <v>1</v>
      </c>
    </row>
    <row r="841" spans="1:11" x14ac:dyDescent="0.3">
      <c r="A841" t="s">
        <v>162</v>
      </c>
      <c r="B841" t="s">
        <v>35</v>
      </c>
      <c r="C841" t="s">
        <v>9</v>
      </c>
      <c r="D841">
        <v>10</v>
      </c>
      <c r="E841">
        <v>21359</v>
      </c>
      <c r="F841">
        <v>11630</v>
      </c>
      <c r="G841" t="s">
        <v>10</v>
      </c>
      <c r="H841" t="str">
        <f>TEXT(CleanData[[#This Row],[Date]],"mmm")</f>
        <v>Apr</v>
      </c>
      <c r="I841">
        <f>WEEKNUM(CleanData[[#This Row],[Date]])</f>
        <v>17</v>
      </c>
      <c r="J841">
        <f>IF(CleanData[[#This Row],[Revenue]]&gt;=CleanData[[#This Row],[Target]],1,0)</f>
        <v>1</v>
      </c>
      <c r="K841">
        <f>IF(CleanData[[#This Row],[Attendance_Status]]="Present",1,0)</f>
        <v>1</v>
      </c>
    </row>
    <row r="842" spans="1:11" x14ac:dyDescent="0.3">
      <c r="A842" t="s">
        <v>135</v>
      </c>
      <c r="B842" t="s">
        <v>79</v>
      </c>
      <c r="C842" t="s">
        <v>13</v>
      </c>
      <c r="D842">
        <v>20</v>
      </c>
      <c r="E842">
        <v>5549</v>
      </c>
      <c r="F842">
        <v>23804</v>
      </c>
      <c r="G842" t="s">
        <v>10</v>
      </c>
      <c r="H842" t="str">
        <f>TEXT(CleanData[[#This Row],[Date]],"mmm")</f>
        <v>Feb</v>
      </c>
      <c r="I842">
        <f>WEEKNUM(CleanData[[#This Row],[Date]])</f>
        <v>6</v>
      </c>
      <c r="J842">
        <f>IF(CleanData[[#This Row],[Revenue]]&gt;=CleanData[[#This Row],[Target]],1,0)</f>
        <v>0</v>
      </c>
      <c r="K842">
        <f>IF(CleanData[[#This Row],[Attendance_Status]]="Present",1,0)</f>
        <v>1</v>
      </c>
    </row>
    <row r="843" spans="1:11" x14ac:dyDescent="0.3">
      <c r="A843" t="s">
        <v>95</v>
      </c>
      <c r="B843" t="s">
        <v>31</v>
      </c>
      <c r="C843" t="s">
        <v>13</v>
      </c>
      <c r="D843">
        <v>16</v>
      </c>
      <c r="E843">
        <v>14348</v>
      </c>
      <c r="F843">
        <v>18798</v>
      </c>
      <c r="G843" t="s">
        <v>26</v>
      </c>
      <c r="H843" t="str">
        <f>TEXT(CleanData[[#This Row],[Date]],"mmm")</f>
        <v>May</v>
      </c>
      <c r="I843">
        <f>WEEKNUM(CleanData[[#This Row],[Date]])</f>
        <v>20</v>
      </c>
      <c r="J843">
        <f>IF(CleanData[[#This Row],[Revenue]]&gt;=CleanData[[#This Row],[Target]],1,0)</f>
        <v>0</v>
      </c>
      <c r="K843">
        <f>IF(CleanData[[#This Row],[Attendance_Status]]="Present",1,0)</f>
        <v>0</v>
      </c>
    </row>
    <row r="844" spans="1:11" x14ac:dyDescent="0.3">
      <c r="A844" t="s">
        <v>167</v>
      </c>
      <c r="B844" t="s">
        <v>12</v>
      </c>
      <c r="C844" t="s">
        <v>22</v>
      </c>
      <c r="D844">
        <v>24</v>
      </c>
      <c r="E844">
        <v>29040</v>
      </c>
      <c r="F844">
        <v>22041</v>
      </c>
      <c r="G844" t="s">
        <v>10</v>
      </c>
      <c r="H844" t="str">
        <f>TEXT(CleanData[[#This Row],[Date]],"mmm")</f>
        <v>May</v>
      </c>
      <c r="I844">
        <f>WEEKNUM(CleanData[[#This Row],[Date]])</f>
        <v>19</v>
      </c>
      <c r="J844">
        <f>IF(CleanData[[#This Row],[Revenue]]&gt;=CleanData[[#This Row],[Target]],1,0)</f>
        <v>1</v>
      </c>
      <c r="K844">
        <f>IF(CleanData[[#This Row],[Attendance_Status]]="Present",1,0)</f>
        <v>1</v>
      </c>
    </row>
    <row r="845" spans="1:11" x14ac:dyDescent="0.3">
      <c r="A845" t="s">
        <v>121</v>
      </c>
      <c r="B845" t="s">
        <v>56</v>
      </c>
      <c r="C845" t="s">
        <v>22</v>
      </c>
      <c r="D845">
        <v>9</v>
      </c>
      <c r="E845">
        <v>29976</v>
      </c>
      <c r="F845">
        <v>11145</v>
      </c>
      <c r="G845" t="s">
        <v>10</v>
      </c>
      <c r="H845" t="str">
        <f>TEXT(CleanData[[#This Row],[Date]],"mmm")</f>
        <v>Apr</v>
      </c>
      <c r="I845">
        <f>WEEKNUM(CleanData[[#This Row],[Date]])</f>
        <v>16</v>
      </c>
      <c r="J845">
        <f>IF(CleanData[[#This Row],[Revenue]]&gt;=CleanData[[#This Row],[Target]],1,0)</f>
        <v>1</v>
      </c>
      <c r="K845">
        <f>IF(CleanData[[#This Row],[Attendance_Status]]="Present",1,0)</f>
        <v>1</v>
      </c>
    </row>
    <row r="846" spans="1:11" x14ac:dyDescent="0.3">
      <c r="A846" t="s">
        <v>70</v>
      </c>
      <c r="B846" t="s">
        <v>56</v>
      </c>
      <c r="C846" t="s">
        <v>9</v>
      </c>
      <c r="D846">
        <v>24</v>
      </c>
      <c r="E846">
        <v>10327</v>
      </c>
      <c r="F846">
        <v>18362</v>
      </c>
      <c r="G846" t="s">
        <v>10</v>
      </c>
      <c r="H846" t="str">
        <f>TEXT(CleanData[[#This Row],[Date]],"mmm")</f>
        <v>May</v>
      </c>
      <c r="I846">
        <f>WEEKNUM(CleanData[[#This Row],[Date]])</f>
        <v>19</v>
      </c>
      <c r="J846">
        <f>IF(CleanData[[#This Row],[Revenue]]&gt;=CleanData[[#This Row],[Target]],1,0)</f>
        <v>0</v>
      </c>
      <c r="K846">
        <f>IF(CleanData[[#This Row],[Attendance_Status]]="Present",1,0)</f>
        <v>1</v>
      </c>
    </row>
    <row r="847" spans="1:11" x14ac:dyDescent="0.3">
      <c r="A847" t="s">
        <v>183</v>
      </c>
      <c r="B847" t="s">
        <v>33</v>
      </c>
      <c r="C847" t="s">
        <v>13</v>
      </c>
      <c r="D847">
        <v>22</v>
      </c>
      <c r="E847">
        <v>29361</v>
      </c>
      <c r="F847">
        <v>23033</v>
      </c>
      <c r="G847" t="s">
        <v>10</v>
      </c>
      <c r="H847" t="str">
        <f>TEXT(CleanData[[#This Row],[Date]],"mmm")</f>
        <v>Mar</v>
      </c>
      <c r="I847">
        <f>WEEKNUM(CleanData[[#This Row],[Date]])</f>
        <v>10</v>
      </c>
      <c r="J847">
        <f>IF(CleanData[[#This Row],[Revenue]]&gt;=CleanData[[#This Row],[Target]],1,0)</f>
        <v>1</v>
      </c>
      <c r="K847">
        <f>IF(CleanData[[#This Row],[Attendance_Status]]="Present",1,0)</f>
        <v>1</v>
      </c>
    </row>
    <row r="848" spans="1:11" x14ac:dyDescent="0.3">
      <c r="A848" t="s">
        <v>85</v>
      </c>
      <c r="B848" t="s">
        <v>31</v>
      </c>
      <c r="C848" t="s">
        <v>13</v>
      </c>
      <c r="D848">
        <v>6</v>
      </c>
      <c r="E848">
        <v>21233</v>
      </c>
      <c r="F848">
        <v>23218</v>
      </c>
      <c r="G848" t="s">
        <v>10</v>
      </c>
      <c r="H848" t="str">
        <f>TEXT(CleanData[[#This Row],[Date]],"mmm")</f>
        <v>Apr</v>
      </c>
      <c r="I848">
        <f>WEEKNUM(CleanData[[#This Row],[Date]])</f>
        <v>18</v>
      </c>
      <c r="J848">
        <f>IF(CleanData[[#This Row],[Revenue]]&gt;=CleanData[[#This Row],[Target]],1,0)</f>
        <v>0</v>
      </c>
      <c r="K848">
        <f>IF(CleanData[[#This Row],[Attendance_Status]]="Present",1,0)</f>
        <v>1</v>
      </c>
    </row>
    <row r="849" spans="1:11" x14ac:dyDescent="0.3">
      <c r="A849" t="s">
        <v>7</v>
      </c>
      <c r="B849" t="s">
        <v>67</v>
      </c>
      <c r="C849" t="s">
        <v>22</v>
      </c>
      <c r="D849">
        <v>25</v>
      </c>
      <c r="E849">
        <v>21889</v>
      </c>
      <c r="F849">
        <v>21873</v>
      </c>
      <c r="G849" t="s">
        <v>26</v>
      </c>
      <c r="H849" t="str">
        <f>TEXT(CleanData[[#This Row],[Date]],"mmm")</f>
        <v>May</v>
      </c>
      <c r="I849">
        <f>WEEKNUM(CleanData[[#This Row],[Date]])</f>
        <v>20</v>
      </c>
      <c r="J849">
        <f>IF(CleanData[[#This Row],[Revenue]]&gt;=CleanData[[#This Row],[Target]],1,0)</f>
        <v>1</v>
      </c>
      <c r="K849">
        <f>IF(CleanData[[#This Row],[Attendance_Status]]="Present",1,0)</f>
        <v>0</v>
      </c>
    </row>
    <row r="850" spans="1:11" x14ac:dyDescent="0.3">
      <c r="A850" t="s">
        <v>164</v>
      </c>
      <c r="B850" t="s">
        <v>37</v>
      </c>
      <c r="C850" t="s">
        <v>13</v>
      </c>
      <c r="D850">
        <v>5</v>
      </c>
      <c r="E850">
        <v>17630</v>
      </c>
      <c r="F850">
        <v>20549</v>
      </c>
      <c r="G850" t="s">
        <v>10</v>
      </c>
      <c r="H850" t="str">
        <f>TEXT(CleanData[[#This Row],[Date]],"mmm")</f>
        <v>Jun</v>
      </c>
      <c r="I850">
        <f>WEEKNUM(CleanData[[#This Row],[Date]])</f>
        <v>24</v>
      </c>
      <c r="J850">
        <f>IF(CleanData[[#This Row],[Revenue]]&gt;=CleanData[[#This Row],[Target]],1,0)</f>
        <v>0</v>
      </c>
      <c r="K850">
        <f>IF(CleanData[[#This Row],[Attendance_Status]]="Present",1,0)</f>
        <v>1</v>
      </c>
    </row>
    <row r="851" spans="1:11" x14ac:dyDescent="0.3">
      <c r="A851" t="s">
        <v>74</v>
      </c>
      <c r="B851" t="s">
        <v>17</v>
      </c>
      <c r="C851" t="s">
        <v>22</v>
      </c>
      <c r="D851">
        <v>22</v>
      </c>
      <c r="E851">
        <v>15768</v>
      </c>
      <c r="F851">
        <v>15446</v>
      </c>
      <c r="G851" t="s">
        <v>10</v>
      </c>
      <c r="H851" t="str">
        <f>TEXT(CleanData[[#This Row],[Date]],"mmm")</f>
        <v>Jun</v>
      </c>
      <c r="I851">
        <f>WEEKNUM(CleanData[[#This Row],[Date]])</f>
        <v>26</v>
      </c>
      <c r="J851">
        <f>IF(CleanData[[#This Row],[Revenue]]&gt;=CleanData[[#This Row],[Target]],1,0)</f>
        <v>1</v>
      </c>
      <c r="K851">
        <f>IF(CleanData[[#This Row],[Attendance_Status]]="Present",1,0)</f>
        <v>1</v>
      </c>
    </row>
    <row r="852" spans="1:11" x14ac:dyDescent="0.3">
      <c r="A852" t="s">
        <v>194</v>
      </c>
      <c r="B852" t="s">
        <v>12</v>
      </c>
      <c r="C852" t="s">
        <v>22</v>
      </c>
      <c r="D852">
        <v>15</v>
      </c>
      <c r="E852">
        <v>9107</v>
      </c>
      <c r="F852">
        <v>16321</v>
      </c>
      <c r="G852" t="s">
        <v>10</v>
      </c>
      <c r="H852" t="str">
        <f>TEXT(CleanData[[#This Row],[Date]],"mmm")</f>
        <v>Jan</v>
      </c>
      <c r="I852">
        <f>WEEKNUM(CleanData[[#This Row],[Date]])</f>
        <v>5</v>
      </c>
      <c r="J852">
        <f>IF(CleanData[[#This Row],[Revenue]]&gt;=CleanData[[#This Row],[Target]],1,0)</f>
        <v>0</v>
      </c>
      <c r="K852">
        <f>IF(CleanData[[#This Row],[Attendance_Status]]="Present",1,0)</f>
        <v>1</v>
      </c>
    </row>
    <row r="853" spans="1:11" x14ac:dyDescent="0.3">
      <c r="A853" t="s">
        <v>55</v>
      </c>
      <c r="B853" t="s">
        <v>27</v>
      </c>
      <c r="C853" t="s">
        <v>9</v>
      </c>
      <c r="D853">
        <v>9</v>
      </c>
      <c r="E853">
        <v>12710</v>
      </c>
      <c r="F853">
        <v>13750</v>
      </c>
      <c r="G853" t="s">
        <v>10</v>
      </c>
      <c r="H853" t="str">
        <f>TEXT(CleanData[[#This Row],[Date]],"mmm")</f>
        <v>Feb</v>
      </c>
      <c r="I853">
        <f>WEEKNUM(CleanData[[#This Row],[Date]])</f>
        <v>8</v>
      </c>
      <c r="J853">
        <f>IF(CleanData[[#This Row],[Revenue]]&gt;=CleanData[[#This Row],[Target]],1,0)</f>
        <v>0</v>
      </c>
      <c r="K853">
        <f>IF(CleanData[[#This Row],[Attendance_Status]]="Present",1,0)</f>
        <v>1</v>
      </c>
    </row>
    <row r="854" spans="1:11" x14ac:dyDescent="0.3">
      <c r="A854" t="s">
        <v>129</v>
      </c>
      <c r="B854" t="s">
        <v>48</v>
      </c>
      <c r="C854" t="s">
        <v>13</v>
      </c>
      <c r="D854">
        <v>20</v>
      </c>
      <c r="E854">
        <v>22599</v>
      </c>
      <c r="F854">
        <v>24238</v>
      </c>
      <c r="G854" t="s">
        <v>10</v>
      </c>
      <c r="H854" t="str">
        <f>TEXT(CleanData[[#This Row],[Date]],"mmm")</f>
        <v>Apr</v>
      </c>
      <c r="I854">
        <f>WEEKNUM(CleanData[[#This Row],[Date]])</f>
        <v>17</v>
      </c>
      <c r="J854">
        <f>IF(CleanData[[#This Row],[Revenue]]&gt;=CleanData[[#This Row],[Target]],1,0)</f>
        <v>0</v>
      </c>
      <c r="K854">
        <f>IF(CleanData[[#This Row],[Attendance_Status]]="Present",1,0)</f>
        <v>1</v>
      </c>
    </row>
    <row r="855" spans="1:11" x14ac:dyDescent="0.3">
      <c r="A855" t="s">
        <v>61</v>
      </c>
      <c r="B855" t="s">
        <v>67</v>
      </c>
      <c r="C855" t="s">
        <v>9</v>
      </c>
      <c r="D855">
        <v>10</v>
      </c>
      <c r="E855">
        <v>9059</v>
      </c>
      <c r="F855">
        <v>18452</v>
      </c>
      <c r="G855" t="s">
        <v>10</v>
      </c>
      <c r="H855" t="str">
        <f>TEXT(CleanData[[#This Row],[Date]],"mmm")</f>
        <v>Jan</v>
      </c>
      <c r="I855">
        <f>WEEKNUM(CleanData[[#This Row],[Date]])</f>
        <v>4</v>
      </c>
      <c r="J855">
        <f>IF(CleanData[[#This Row],[Revenue]]&gt;=CleanData[[#This Row],[Target]],1,0)</f>
        <v>0</v>
      </c>
      <c r="K855">
        <f>IF(CleanData[[#This Row],[Attendance_Status]]="Present",1,0)</f>
        <v>1</v>
      </c>
    </row>
    <row r="856" spans="1:11" x14ac:dyDescent="0.3">
      <c r="A856" t="s">
        <v>66</v>
      </c>
      <c r="B856" t="s">
        <v>52</v>
      </c>
      <c r="C856" t="s">
        <v>22</v>
      </c>
      <c r="D856">
        <v>8</v>
      </c>
      <c r="E856">
        <v>20673</v>
      </c>
      <c r="F856">
        <v>16816</v>
      </c>
      <c r="G856" t="s">
        <v>10</v>
      </c>
      <c r="H856" t="str">
        <f>TEXT(CleanData[[#This Row],[Date]],"mmm")</f>
        <v>Jun</v>
      </c>
      <c r="I856">
        <f>WEEKNUM(CleanData[[#This Row],[Date]])</f>
        <v>24</v>
      </c>
      <c r="J856">
        <f>IF(CleanData[[#This Row],[Revenue]]&gt;=CleanData[[#This Row],[Target]],1,0)</f>
        <v>1</v>
      </c>
      <c r="K856">
        <f>IF(CleanData[[#This Row],[Attendance_Status]]="Present",1,0)</f>
        <v>1</v>
      </c>
    </row>
    <row r="857" spans="1:11" x14ac:dyDescent="0.3">
      <c r="A857" t="s">
        <v>157</v>
      </c>
      <c r="B857" t="s">
        <v>15</v>
      </c>
      <c r="C857" t="s">
        <v>22</v>
      </c>
      <c r="D857">
        <v>25</v>
      </c>
      <c r="E857">
        <v>27745</v>
      </c>
      <c r="F857">
        <v>21757</v>
      </c>
      <c r="G857" t="s">
        <v>10</v>
      </c>
      <c r="H857" t="str">
        <f>TEXT(CleanData[[#This Row],[Date]],"mmm")</f>
        <v>Jan</v>
      </c>
      <c r="I857">
        <f>WEEKNUM(CleanData[[#This Row],[Date]])</f>
        <v>3</v>
      </c>
      <c r="J857">
        <f>IF(CleanData[[#This Row],[Revenue]]&gt;=CleanData[[#This Row],[Target]],1,0)</f>
        <v>1</v>
      </c>
      <c r="K857">
        <f>IF(CleanData[[#This Row],[Attendance_Status]]="Present",1,0)</f>
        <v>1</v>
      </c>
    </row>
    <row r="858" spans="1:11" x14ac:dyDescent="0.3">
      <c r="A858" t="s">
        <v>185</v>
      </c>
      <c r="B858" t="s">
        <v>52</v>
      </c>
      <c r="C858" t="s">
        <v>9</v>
      </c>
      <c r="D858">
        <v>18</v>
      </c>
      <c r="E858">
        <v>6427</v>
      </c>
      <c r="F858">
        <v>22108</v>
      </c>
      <c r="G858" t="s">
        <v>10</v>
      </c>
      <c r="H858" t="str">
        <f>TEXT(CleanData[[#This Row],[Date]],"mmm")</f>
        <v>Feb</v>
      </c>
      <c r="I858">
        <f>WEEKNUM(CleanData[[#This Row],[Date]])</f>
        <v>8</v>
      </c>
      <c r="J858">
        <f>IF(CleanData[[#This Row],[Revenue]]&gt;=CleanData[[#This Row],[Target]],1,0)</f>
        <v>0</v>
      </c>
      <c r="K858">
        <f>IF(CleanData[[#This Row],[Attendance_Status]]="Present",1,0)</f>
        <v>1</v>
      </c>
    </row>
    <row r="859" spans="1:11" x14ac:dyDescent="0.3">
      <c r="A859" t="s">
        <v>145</v>
      </c>
      <c r="B859" t="s">
        <v>120</v>
      </c>
      <c r="C859" t="s">
        <v>22</v>
      </c>
      <c r="D859">
        <v>8</v>
      </c>
      <c r="E859">
        <v>20798</v>
      </c>
      <c r="F859">
        <v>21505</v>
      </c>
      <c r="G859" t="s">
        <v>10</v>
      </c>
      <c r="H859" t="str">
        <f>TEXT(CleanData[[#This Row],[Date]],"mmm")</f>
        <v>Feb</v>
      </c>
      <c r="I859">
        <f>WEEKNUM(CleanData[[#This Row],[Date]])</f>
        <v>7</v>
      </c>
      <c r="J859">
        <f>IF(CleanData[[#This Row],[Revenue]]&gt;=CleanData[[#This Row],[Target]],1,0)</f>
        <v>0</v>
      </c>
      <c r="K859">
        <f>IF(CleanData[[#This Row],[Attendance_Status]]="Present",1,0)</f>
        <v>1</v>
      </c>
    </row>
    <row r="860" spans="1:11" x14ac:dyDescent="0.3">
      <c r="A860" t="s">
        <v>43</v>
      </c>
      <c r="B860" t="s">
        <v>40</v>
      </c>
      <c r="C860" t="s">
        <v>22</v>
      </c>
      <c r="D860">
        <v>21</v>
      </c>
      <c r="E860">
        <v>10540</v>
      </c>
      <c r="F860">
        <v>13939</v>
      </c>
      <c r="G860" t="s">
        <v>10</v>
      </c>
      <c r="H860" t="str">
        <f>TEXT(CleanData[[#This Row],[Date]],"mmm")</f>
        <v>Feb</v>
      </c>
      <c r="I860">
        <f>WEEKNUM(CleanData[[#This Row],[Date]])</f>
        <v>8</v>
      </c>
      <c r="J860">
        <f>IF(CleanData[[#This Row],[Revenue]]&gt;=CleanData[[#This Row],[Target]],1,0)</f>
        <v>0</v>
      </c>
      <c r="K860">
        <f>IF(CleanData[[#This Row],[Attendance_Status]]="Present",1,0)</f>
        <v>1</v>
      </c>
    </row>
    <row r="861" spans="1:11" x14ac:dyDescent="0.3">
      <c r="A861" t="s">
        <v>30</v>
      </c>
      <c r="B861" t="s">
        <v>8</v>
      </c>
      <c r="C861" t="s">
        <v>22</v>
      </c>
      <c r="D861">
        <v>22</v>
      </c>
      <c r="E861">
        <v>16062</v>
      </c>
      <c r="F861">
        <v>24879</v>
      </c>
      <c r="G861" t="s">
        <v>26</v>
      </c>
      <c r="H861" t="str">
        <f>TEXT(CleanData[[#This Row],[Date]],"mmm")</f>
        <v>Mar</v>
      </c>
      <c r="I861">
        <f>WEEKNUM(CleanData[[#This Row],[Date]])</f>
        <v>11</v>
      </c>
      <c r="J861">
        <f>IF(CleanData[[#This Row],[Revenue]]&gt;=CleanData[[#This Row],[Target]],1,0)</f>
        <v>0</v>
      </c>
      <c r="K861">
        <f>IF(CleanData[[#This Row],[Attendance_Status]]="Present",1,0)</f>
        <v>0</v>
      </c>
    </row>
    <row r="862" spans="1:11" x14ac:dyDescent="0.3">
      <c r="A862" t="s">
        <v>213</v>
      </c>
      <c r="B862" t="s">
        <v>31</v>
      </c>
      <c r="C862" t="s">
        <v>13</v>
      </c>
      <c r="D862">
        <v>18</v>
      </c>
      <c r="E862">
        <v>6405</v>
      </c>
      <c r="F862">
        <v>16978</v>
      </c>
      <c r="G862" t="s">
        <v>10</v>
      </c>
      <c r="H862" t="str">
        <f>TEXT(CleanData[[#This Row],[Date]],"mmm")</f>
        <v>Jan</v>
      </c>
      <c r="I862">
        <f>WEEKNUM(CleanData[[#This Row],[Date]])</f>
        <v>1</v>
      </c>
      <c r="J862">
        <f>IF(CleanData[[#This Row],[Revenue]]&gt;=CleanData[[#This Row],[Target]],1,0)</f>
        <v>0</v>
      </c>
      <c r="K862">
        <f>IF(CleanData[[#This Row],[Attendance_Status]]="Present",1,0)</f>
        <v>1</v>
      </c>
    </row>
    <row r="863" spans="1:11" x14ac:dyDescent="0.3">
      <c r="A863" t="s">
        <v>118</v>
      </c>
      <c r="B863" t="s">
        <v>67</v>
      </c>
      <c r="C863" t="s">
        <v>13</v>
      </c>
      <c r="D863">
        <v>16</v>
      </c>
      <c r="E863">
        <v>14147</v>
      </c>
      <c r="F863">
        <v>21246</v>
      </c>
      <c r="G863" t="s">
        <v>26</v>
      </c>
      <c r="H863" t="str">
        <f>TEXT(CleanData[[#This Row],[Date]],"mmm")</f>
        <v>Jan</v>
      </c>
      <c r="I863">
        <f>WEEKNUM(CleanData[[#This Row],[Date]])</f>
        <v>4</v>
      </c>
      <c r="J863">
        <f>IF(CleanData[[#This Row],[Revenue]]&gt;=CleanData[[#This Row],[Target]],1,0)</f>
        <v>0</v>
      </c>
      <c r="K863">
        <f>IF(CleanData[[#This Row],[Attendance_Status]]="Present",1,0)</f>
        <v>0</v>
      </c>
    </row>
    <row r="864" spans="1:11" x14ac:dyDescent="0.3">
      <c r="A864" t="s">
        <v>213</v>
      </c>
      <c r="B864" t="s">
        <v>50</v>
      </c>
      <c r="C864" t="s">
        <v>9</v>
      </c>
      <c r="D864">
        <v>24</v>
      </c>
      <c r="E864">
        <v>21680</v>
      </c>
      <c r="F864">
        <v>13030</v>
      </c>
      <c r="G864" t="s">
        <v>10</v>
      </c>
      <c r="H864" t="str">
        <f>TEXT(CleanData[[#This Row],[Date]],"mmm")</f>
        <v>Jan</v>
      </c>
      <c r="I864">
        <f>WEEKNUM(CleanData[[#This Row],[Date]])</f>
        <v>1</v>
      </c>
      <c r="J864">
        <f>IF(CleanData[[#This Row],[Revenue]]&gt;=CleanData[[#This Row],[Target]],1,0)</f>
        <v>1</v>
      </c>
      <c r="K864">
        <f>IF(CleanData[[#This Row],[Attendance_Status]]="Present",1,0)</f>
        <v>1</v>
      </c>
    </row>
    <row r="865" spans="1:11" x14ac:dyDescent="0.3">
      <c r="A865" t="s">
        <v>155</v>
      </c>
      <c r="B865" t="s">
        <v>19</v>
      </c>
      <c r="C865" t="s">
        <v>13</v>
      </c>
      <c r="D865">
        <v>25</v>
      </c>
      <c r="E865">
        <v>8880</v>
      </c>
      <c r="F865">
        <v>11412</v>
      </c>
      <c r="G865" t="s">
        <v>10</v>
      </c>
      <c r="H865" t="str">
        <f>TEXT(CleanData[[#This Row],[Date]],"mmm")</f>
        <v>May</v>
      </c>
      <c r="I865">
        <f>WEEKNUM(CleanData[[#This Row],[Date]])</f>
        <v>20</v>
      </c>
      <c r="J865">
        <f>IF(CleanData[[#This Row],[Revenue]]&gt;=CleanData[[#This Row],[Target]],1,0)</f>
        <v>0</v>
      </c>
      <c r="K865">
        <f>IF(CleanData[[#This Row],[Attendance_Status]]="Present",1,0)</f>
        <v>1</v>
      </c>
    </row>
    <row r="866" spans="1:11" x14ac:dyDescent="0.3">
      <c r="A866" t="s">
        <v>162</v>
      </c>
      <c r="B866" t="s">
        <v>15</v>
      </c>
      <c r="C866" t="s">
        <v>13</v>
      </c>
      <c r="D866">
        <v>17</v>
      </c>
      <c r="E866">
        <v>13334</v>
      </c>
      <c r="F866">
        <v>12302</v>
      </c>
      <c r="G866" t="s">
        <v>10</v>
      </c>
      <c r="H866" t="str">
        <f>TEXT(CleanData[[#This Row],[Date]],"mmm")</f>
        <v>Apr</v>
      </c>
      <c r="I866">
        <f>WEEKNUM(CleanData[[#This Row],[Date]])</f>
        <v>17</v>
      </c>
      <c r="J866">
        <f>IF(CleanData[[#This Row],[Revenue]]&gt;=CleanData[[#This Row],[Target]],1,0)</f>
        <v>1</v>
      </c>
      <c r="K866">
        <f>IF(CleanData[[#This Row],[Attendance_Status]]="Present",1,0)</f>
        <v>1</v>
      </c>
    </row>
    <row r="867" spans="1:11" x14ac:dyDescent="0.3">
      <c r="A867" t="s">
        <v>103</v>
      </c>
      <c r="B867" t="s">
        <v>12</v>
      </c>
      <c r="C867" t="s">
        <v>22</v>
      </c>
      <c r="D867">
        <v>6</v>
      </c>
      <c r="E867">
        <v>18275</v>
      </c>
      <c r="F867">
        <v>17795</v>
      </c>
      <c r="G867" t="s">
        <v>10</v>
      </c>
      <c r="H867" t="str">
        <f>TEXT(CleanData[[#This Row],[Date]],"mmm")</f>
        <v>May</v>
      </c>
      <c r="I867">
        <f>WEEKNUM(CleanData[[#This Row],[Date]])</f>
        <v>21</v>
      </c>
      <c r="J867">
        <f>IF(CleanData[[#This Row],[Revenue]]&gt;=CleanData[[#This Row],[Target]],1,0)</f>
        <v>1</v>
      </c>
      <c r="K867">
        <f>IF(CleanData[[#This Row],[Attendance_Status]]="Present",1,0)</f>
        <v>1</v>
      </c>
    </row>
    <row r="868" spans="1:11" x14ac:dyDescent="0.3">
      <c r="A868" t="s">
        <v>213</v>
      </c>
      <c r="B868" t="s">
        <v>17</v>
      </c>
      <c r="C868" t="s">
        <v>9</v>
      </c>
      <c r="D868">
        <v>19</v>
      </c>
      <c r="E868">
        <v>20669</v>
      </c>
      <c r="F868">
        <v>21712</v>
      </c>
      <c r="G868" t="s">
        <v>26</v>
      </c>
      <c r="H868" t="str">
        <f>TEXT(CleanData[[#This Row],[Date]],"mmm")</f>
        <v>Jan</v>
      </c>
      <c r="I868">
        <f>WEEKNUM(CleanData[[#This Row],[Date]])</f>
        <v>1</v>
      </c>
      <c r="J868">
        <f>IF(CleanData[[#This Row],[Revenue]]&gt;=CleanData[[#This Row],[Target]],1,0)</f>
        <v>0</v>
      </c>
      <c r="K868">
        <f>IF(CleanData[[#This Row],[Attendance_Status]]="Present",1,0)</f>
        <v>0</v>
      </c>
    </row>
    <row r="869" spans="1:11" x14ac:dyDescent="0.3">
      <c r="A869" t="s">
        <v>88</v>
      </c>
      <c r="B869" t="s">
        <v>37</v>
      </c>
      <c r="C869" t="s">
        <v>9</v>
      </c>
      <c r="D869">
        <v>5</v>
      </c>
      <c r="E869">
        <v>16471</v>
      </c>
      <c r="F869">
        <v>24800</v>
      </c>
      <c r="G869" t="s">
        <v>10</v>
      </c>
      <c r="H869" t="str">
        <f>TEXT(CleanData[[#This Row],[Date]],"mmm")</f>
        <v>Jun</v>
      </c>
      <c r="I869">
        <f>WEEKNUM(CleanData[[#This Row],[Date]])</f>
        <v>26</v>
      </c>
      <c r="J869">
        <f>IF(CleanData[[#This Row],[Revenue]]&gt;=CleanData[[#This Row],[Target]],1,0)</f>
        <v>0</v>
      </c>
      <c r="K869">
        <f>IF(CleanData[[#This Row],[Attendance_Status]]="Present",1,0)</f>
        <v>1</v>
      </c>
    </row>
    <row r="870" spans="1:11" x14ac:dyDescent="0.3">
      <c r="A870" t="s">
        <v>133</v>
      </c>
      <c r="B870" t="s">
        <v>73</v>
      </c>
      <c r="C870" t="s">
        <v>22</v>
      </c>
      <c r="D870">
        <v>10</v>
      </c>
      <c r="E870">
        <v>25221</v>
      </c>
      <c r="F870">
        <v>10109</v>
      </c>
      <c r="G870" t="s">
        <v>10</v>
      </c>
      <c r="H870" t="str">
        <f>TEXT(CleanData[[#This Row],[Date]],"mmm")</f>
        <v>Jan</v>
      </c>
      <c r="I870">
        <f>WEEKNUM(CleanData[[#This Row],[Date]])</f>
        <v>5</v>
      </c>
      <c r="J870">
        <f>IF(CleanData[[#This Row],[Revenue]]&gt;=CleanData[[#This Row],[Target]],1,0)</f>
        <v>1</v>
      </c>
      <c r="K870">
        <f>IF(CleanData[[#This Row],[Attendance_Status]]="Present",1,0)</f>
        <v>1</v>
      </c>
    </row>
    <row r="871" spans="1:11" x14ac:dyDescent="0.3">
      <c r="A871" t="s">
        <v>78</v>
      </c>
      <c r="B871" t="s">
        <v>67</v>
      </c>
      <c r="C871" t="s">
        <v>13</v>
      </c>
      <c r="D871">
        <v>21</v>
      </c>
      <c r="E871">
        <v>22367</v>
      </c>
      <c r="F871">
        <v>22157</v>
      </c>
      <c r="G871" t="s">
        <v>10</v>
      </c>
      <c r="H871" t="str">
        <f>TEXT(CleanData[[#This Row],[Date]],"mmm")</f>
        <v>Apr</v>
      </c>
      <c r="I871">
        <f>WEEKNUM(CleanData[[#This Row],[Date]])</f>
        <v>15</v>
      </c>
      <c r="J871">
        <f>IF(CleanData[[#This Row],[Revenue]]&gt;=CleanData[[#This Row],[Target]],1,0)</f>
        <v>1</v>
      </c>
      <c r="K871">
        <f>IF(CleanData[[#This Row],[Attendance_Status]]="Present",1,0)</f>
        <v>1</v>
      </c>
    </row>
    <row r="872" spans="1:11" x14ac:dyDescent="0.3">
      <c r="A872" t="s">
        <v>66</v>
      </c>
      <c r="B872" t="s">
        <v>73</v>
      </c>
      <c r="C872" t="s">
        <v>9</v>
      </c>
      <c r="D872">
        <v>5</v>
      </c>
      <c r="E872">
        <v>6599</v>
      </c>
      <c r="F872">
        <v>23555</v>
      </c>
      <c r="G872" t="s">
        <v>10</v>
      </c>
      <c r="H872" t="str">
        <f>TEXT(CleanData[[#This Row],[Date]],"mmm")</f>
        <v>Jun</v>
      </c>
      <c r="I872">
        <f>WEEKNUM(CleanData[[#This Row],[Date]])</f>
        <v>24</v>
      </c>
      <c r="J872">
        <f>IF(CleanData[[#This Row],[Revenue]]&gt;=CleanData[[#This Row],[Target]],1,0)</f>
        <v>0</v>
      </c>
      <c r="K872">
        <f>IF(CleanData[[#This Row],[Attendance_Status]]="Present",1,0)</f>
        <v>1</v>
      </c>
    </row>
    <row r="873" spans="1:11" x14ac:dyDescent="0.3">
      <c r="A873" t="s">
        <v>186</v>
      </c>
      <c r="B873" t="s">
        <v>27</v>
      </c>
      <c r="C873" t="s">
        <v>22</v>
      </c>
      <c r="D873">
        <v>7</v>
      </c>
      <c r="E873">
        <v>28464</v>
      </c>
      <c r="F873">
        <v>17435</v>
      </c>
      <c r="G873" t="s">
        <v>10</v>
      </c>
      <c r="H873" t="str">
        <f>TEXT(CleanData[[#This Row],[Date]],"mmm")</f>
        <v>Apr</v>
      </c>
      <c r="I873">
        <f>WEEKNUM(CleanData[[#This Row],[Date]])</f>
        <v>16</v>
      </c>
      <c r="J873">
        <f>IF(CleanData[[#This Row],[Revenue]]&gt;=CleanData[[#This Row],[Target]],1,0)</f>
        <v>1</v>
      </c>
      <c r="K873">
        <f>IF(CleanData[[#This Row],[Attendance_Status]]="Present",1,0)</f>
        <v>1</v>
      </c>
    </row>
    <row r="874" spans="1:11" x14ac:dyDescent="0.3">
      <c r="A874" t="s">
        <v>119</v>
      </c>
      <c r="B874" t="s">
        <v>54</v>
      </c>
      <c r="C874" t="s">
        <v>22</v>
      </c>
      <c r="D874">
        <v>21</v>
      </c>
      <c r="E874">
        <v>5645</v>
      </c>
      <c r="F874">
        <v>21378</v>
      </c>
      <c r="G874" t="s">
        <v>10</v>
      </c>
      <c r="H874" t="str">
        <f>TEXT(CleanData[[#This Row],[Date]],"mmm")</f>
        <v>Jan</v>
      </c>
      <c r="I874">
        <f>WEEKNUM(CleanData[[#This Row],[Date]])</f>
        <v>4</v>
      </c>
      <c r="J874">
        <f>IF(CleanData[[#This Row],[Revenue]]&gt;=CleanData[[#This Row],[Target]],1,0)</f>
        <v>0</v>
      </c>
      <c r="K874">
        <f>IF(CleanData[[#This Row],[Attendance_Status]]="Present",1,0)</f>
        <v>1</v>
      </c>
    </row>
    <row r="875" spans="1:11" x14ac:dyDescent="0.3">
      <c r="A875" t="s">
        <v>82</v>
      </c>
      <c r="B875" t="s">
        <v>101</v>
      </c>
      <c r="C875" t="s">
        <v>9</v>
      </c>
      <c r="D875">
        <v>20</v>
      </c>
      <c r="E875">
        <v>19166</v>
      </c>
      <c r="F875">
        <v>19268</v>
      </c>
      <c r="G875" t="s">
        <v>10</v>
      </c>
      <c r="H875" t="str">
        <f>TEXT(CleanData[[#This Row],[Date]],"mmm")</f>
        <v>Jan</v>
      </c>
      <c r="I875">
        <f>WEEKNUM(CleanData[[#This Row],[Date]])</f>
        <v>2</v>
      </c>
      <c r="J875">
        <f>IF(CleanData[[#This Row],[Revenue]]&gt;=CleanData[[#This Row],[Target]],1,0)</f>
        <v>0</v>
      </c>
      <c r="K875">
        <f>IF(CleanData[[#This Row],[Attendance_Status]]="Present",1,0)</f>
        <v>1</v>
      </c>
    </row>
    <row r="876" spans="1:11" x14ac:dyDescent="0.3">
      <c r="A876" t="s">
        <v>138</v>
      </c>
      <c r="B876" t="s">
        <v>54</v>
      </c>
      <c r="C876" t="s">
        <v>13</v>
      </c>
      <c r="D876">
        <v>22</v>
      </c>
      <c r="E876">
        <v>24272</v>
      </c>
      <c r="F876">
        <v>12633</v>
      </c>
      <c r="G876" t="s">
        <v>26</v>
      </c>
      <c r="H876" t="str">
        <f>TEXT(CleanData[[#This Row],[Date]],"mmm")</f>
        <v>Apr</v>
      </c>
      <c r="I876">
        <f>WEEKNUM(CleanData[[#This Row],[Date]])</f>
        <v>14</v>
      </c>
      <c r="J876">
        <f>IF(CleanData[[#This Row],[Revenue]]&gt;=CleanData[[#This Row],[Target]],1,0)</f>
        <v>1</v>
      </c>
      <c r="K876">
        <f>IF(CleanData[[#This Row],[Attendance_Status]]="Present",1,0)</f>
        <v>0</v>
      </c>
    </row>
    <row r="877" spans="1:11" x14ac:dyDescent="0.3">
      <c r="A877" t="s">
        <v>55</v>
      </c>
      <c r="B877" t="s">
        <v>33</v>
      </c>
      <c r="C877" t="s">
        <v>22</v>
      </c>
      <c r="D877">
        <v>10</v>
      </c>
      <c r="E877">
        <v>8263</v>
      </c>
      <c r="F877">
        <v>23570</v>
      </c>
      <c r="G877" t="s">
        <v>10</v>
      </c>
      <c r="H877" t="str">
        <f>TEXT(CleanData[[#This Row],[Date]],"mmm")</f>
        <v>Feb</v>
      </c>
      <c r="I877">
        <f>WEEKNUM(CleanData[[#This Row],[Date]])</f>
        <v>8</v>
      </c>
      <c r="J877">
        <f>IF(CleanData[[#This Row],[Revenue]]&gt;=CleanData[[#This Row],[Target]],1,0)</f>
        <v>0</v>
      </c>
      <c r="K877">
        <f>IF(CleanData[[#This Row],[Attendance_Status]]="Present",1,0)</f>
        <v>1</v>
      </c>
    </row>
    <row r="878" spans="1:11" x14ac:dyDescent="0.3">
      <c r="A878" t="s">
        <v>220</v>
      </c>
      <c r="B878" t="s">
        <v>17</v>
      </c>
      <c r="C878" t="s">
        <v>9</v>
      </c>
      <c r="D878">
        <v>13</v>
      </c>
      <c r="E878">
        <v>24890</v>
      </c>
      <c r="F878">
        <v>20798</v>
      </c>
      <c r="G878" t="s">
        <v>10</v>
      </c>
      <c r="H878" t="str">
        <f>TEXT(CleanData[[#This Row],[Date]],"mmm")</f>
        <v>Apr</v>
      </c>
      <c r="I878">
        <f>WEEKNUM(CleanData[[#This Row],[Date]])</f>
        <v>18</v>
      </c>
      <c r="J878">
        <f>IF(CleanData[[#This Row],[Revenue]]&gt;=CleanData[[#This Row],[Target]],1,0)</f>
        <v>1</v>
      </c>
      <c r="K878">
        <f>IF(CleanData[[#This Row],[Attendance_Status]]="Present",1,0)</f>
        <v>1</v>
      </c>
    </row>
    <row r="879" spans="1:11" x14ac:dyDescent="0.3">
      <c r="A879" t="s">
        <v>60</v>
      </c>
      <c r="B879" t="s">
        <v>31</v>
      </c>
      <c r="C879" t="s">
        <v>13</v>
      </c>
      <c r="D879">
        <v>25</v>
      </c>
      <c r="E879">
        <v>19807</v>
      </c>
      <c r="F879">
        <v>24672</v>
      </c>
      <c r="G879" t="s">
        <v>10</v>
      </c>
      <c r="H879" t="str">
        <f>TEXT(CleanData[[#This Row],[Date]],"mmm")</f>
        <v>May</v>
      </c>
      <c r="I879">
        <f>WEEKNUM(CleanData[[#This Row],[Date]])</f>
        <v>18</v>
      </c>
      <c r="J879">
        <f>IF(CleanData[[#This Row],[Revenue]]&gt;=CleanData[[#This Row],[Target]],1,0)</f>
        <v>0</v>
      </c>
      <c r="K879">
        <f>IF(CleanData[[#This Row],[Attendance_Status]]="Present",1,0)</f>
        <v>1</v>
      </c>
    </row>
    <row r="880" spans="1:11" x14ac:dyDescent="0.3">
      <c r="A880" t="s">
        <v>152</v>
      </c>
      <c r="B880" t="s">
        <v>52</v>
      </c>
      <c r="C880" t="s">
        <v>22</v>
      </c>
      <c r="D880">
        <v>14</v>
      </c>
      <c r="E880">
        <v>10591</v>
      </c>
      <c r="F880">
        <v>14557</v>
      </c>
      <c r="G880" t="s">
        <v>10</v>
      </c>
      <c r="H880" t="str">
        <f>TEXT(CleanData[[#This Row],[Date]],"mmm")</f>
        <v>Jan</v>
      </c>
      <c r="I880">
        <f>WEEKNUM(CleanData[[#This Row],[Date]])</f>
        <v>2</v>
      </c>
      <c r="J880">
        <f>IF(CleanData[[#This Row],[Revenue]]&gt;=CleanData[[#This Row],[Target]],1,0)</f>
        <v>0</v>
      </c>
      <c r="K880">
        <f>IF(CleanData[[#This Row],[Attendance_Status]]="Present",1,0)</f>
        <v>1</v>
      </c>
    </row>
    <row r="881" spans="1:11" x14ac:dyDescent="0.3">
      <c r="A881" t="s">
        <v>113</v>
      </c>
      <c r="B881" t="s">
        <v>92</v>
      </c>
      <c r="C881" t="s">
        <v>9</v>
      </c>
      <c r="D881">
        <v>5</v>
      </c>
      <c r="E881">
        <v>9051</v>
      </c>
      <c r="F881">
        <v>24178</v>
      </c>
      <c r="G881" t="s">
        <v>10</v>
      </c>
      <c r="H881" t="str">
        <f>TEXT(CleanData[[#This Row],[Date]],"mmm")</f>
        <v>Mar</v>
      </c>
      <c r="I881">
        <f>WEEKNUM(CleanData[[#This Row],[Date]])</f>
        <v>14</v>
      </c>
      <c r="J881">
        <f>IF(CleanData[[#This Row],[Revenue]]&gt;=CleanData[[#This Row],[Target]],1,0)</f>
        <v>0</v>
      </c>
      <c r="K881">
        <f>IF(CleanData[[#This Row],[Attendance_Status]]="Present",1,0)</f>
        <v>1</v>
      </c>
    </row>
    <row r="882" spans="1:11" x14ac:dyDescent="0.3">
      <c r="A882" t="s">
        <v>196</v>
      </c>
      <c r="B882" t="s">
        <v>25</v>
      </c>
      <c r="C882" t="s">
        <v>9</v>
      </c>
      <c r="D882">
        <v>19</v>
      </c>
      <c r="E882">
        <v>27280</v>
      </c>
      <c r="F882">
        <v>22116</v>
      </c>
      <c r="G882" t="s">
        <v>10</v>
      </c>
      <c r="H882" t="str">
        <f>TEXT(CleanData[[#This Row],[Date]],"mmm")</f>
        <v>Apr</v>
      </c>
      <c r="I882">
        <f>WEEKNUM(CleanData[[#This Row],[Date]])</f>
        <v>17</v>
      </c>
      <c r="J882">
        <f>IF(CleanData[[#This Row],[Revenue]]&gt;=CleanData[[#This Row],[Target]],1,0)</f>
        <v>1</v>
      </c>
      <c r="K882">
        <f>IF(CleanData[[#This Row],[Attendance_Status]]="Present",1,0)</f>
        <v>1</v>
      </c>
    </row>
    <row r="883" spans="1:11" x14ac:dyDescent="0.3">
      <c r="A883" t="s">
        <v>34</v>
      </c>
      <c r="B883" t="s">
        <v>92</v>
      </c>
      <c r="C883" t="s">
        <v>22</v>
      </c>
      <c r="D883">
        <v>13</v>
      </c>
      <c r="E883">
        <v>16992</v>
      </c>
      <c r="F883">
        <v>11421</v>
      </c>
      <c r="G883" t="s">
        <v>10</v>
      </c>
      <c r="H883" t="str">
        <f>TEXT(CleanData[[#This Row],[Date]],"mmm")</f>
        <v>Jan</v>
      </c>
      <c r="I883">
        <f>WEEKNUM(CleanData[[#This Row],[Date]])</f>
        <v>1</v>
      </c>
      <c r="J883">
        <f>IF(CleanData[[#This Row],[Revenue]]&gt;=CleanData[[#This Row],[Target]],1,0)</f>
        <v>1</v>
      </c>
      <c r="K883">
        <f>IF(CleanData[[#This Row],[Attendance_Status]]="Present",1,0)</f>
        <v>1</v>
      </c>
    </row>
    <row r="884" spans="1:11" x14ac:dyDescent="0.3">
      <c r="A884" t="s">
        <v>176</v>
      </c>
      <c r="B884" t="s">
        <v>25</v>
      </c>
      <c r="C884" t="s">
        <v>13</v>
      </c>
      <c r="D884">
        <v>24</v>
      </c>
      <c r="E884">
        <v>8425</v>
      </c>
      <c r="F884">
        <v>20297</v>
      </c>
      <c r="G884" t="s">
        <v>10</v>
      </c>
      <c r="H884" t="str">
        <f>TEXT(CleanData[[#This Row],[Date]],"mmm")</f>
        <v>Mar</v>
      </c>
      <c r="I884">
        <f>WEEKNUM(CleanData[[#This Row],[Date]])</f>
        <v>13</v>
      </c>
      <c r="J884">
        <f>IF(CleanData[[#This Row],[Revenue]]&gt;=CleanData[[#This Row],[Target]],1,0)</f>
        <v>0</v>
      </c>
      <c r="K884">
        <f>IF(CleanData[[#This Row],[Attendance_Status]]="Present",1,0)</f>
        <v>1</v>
      </c>
    </row>
    <row r="885" spans="1:11" x14ac:dyDescent="0.3">
      <c r="A885" t="s">
        <v>61</v>
      </c>
      <c r="B885" t="s">
        <v>69</v>
      </c>
      <c r="C885" t="s">
        <v>13</v>
      </c>
      <c r="D885">
        <v>21</v>
      </c>
      <c r="E885">
        <v>28942</v>
      </c>
      <c r="F885">
        <v>20221</v>
      </c>
      <c r="G885" t="s">
        <v>10</v>
      </c>
      <c r="H885" t="str">
        <f>TEXT(CleanData[[#This Row],[Date]],"mmm")</f>
        <v>Jan</v>
      </c>
      <c r="I885">
        <f>WEEKNUM(CleanData[[#This Row],[Date]])</f>
        <v>4</v>
      </c>
      <c r="J885">
        <f>IF(CleanData[[#This Row],[Revenue]]&gt;=CleanData[[#This Row],[Target]],1,0)</f>
        <v>1</v>
      </c>
      <c r="K885">
        <f>IF(CleanData[[#This Row],[Attendance_Status]]="Present",1,0)</f>
        <v>1</v>
      </c>
    </row>
    <row r="886" spans="1:11" x14ac:dyDescent="0.3">
      <c r="A886" t="s">
        <v>149</v>
      </c>
      <c r="B886" t="s">
        <v>48</v>
      </c>
      <c r="C886" t="s">
        <v>13</v>
      </c>
      <c r="D886">
        <v>22</v>
      </c>
      <c r="E886">
        <v>10969</v>
      </c>
      <c r="F886">
        <v>15108</v>
      </c>
      <c r="G886" t="s">
        <v>10</v>
      </c>
      <c r="H886" t="str">
        <f>TEXT(CleanData[[#This Row],[Date]],"mmm")</f>
        <v>Mar</v>
      </c>
      <c r="I886">
        <f>WEEKNUM(CleanData[[#This Row],[Date]])</f>
        <v>12</v>
      </c>
      <c r="J886">
        <f>IF(CleanData[[#This Row],[Revenue]]&gt;=CleanData[[#This Row],[Target]],1,0)</f>
        <v>0</v>
      </c>
      <c r="K886">
        <f>IF(CleanData[[#This Row],[Attendance_Status]]="Present",1,0)</f>
        <v>1</v>
      </c>
    </row>
    <row r="887" spans="1:11" x14ac:dyDescent="0.3">
      <c r="A887" t="s">
        <v>34</v>
      </c>
      <c r="B887" t="s">
        <v>56</v>
      </c>
      <c r="C887" t="s">
        <v>22</v>
      </c>
      <c r="D887">
        <v>16</v>
      </c>
      <c r="E887">
        <v>23043</v>
      </c>
      <c r="F887">
        <v>17021</v>
      </c>
      <c r="G887" t="s">
        <v>10</v>
      </c>
      <c r="H887" t="str">
        <f>TEXT(CleanData[[#This Row],[Date]],"mmm")</f>
        <v>Jan</v>
      </c>
      <c r="I887">
        <f>WEEKNUM(CleanData[[#This Row],[Date]])</f>
        <v>1</v>
      </c>
      <c r="J887">
        <f>IF(CleanData[[#This Row],[Revenue]]&gt;=CleanData[[#This Row],[Target]],1,0)</f>
        <v>1</v>
      </c>
      <c r="K887">
        <f>IF(CleanData[[#This Row],[Attendance_Status]]="Present",1,0)</f>
        <v>1</v>
      </c>
    </row>
    <row r="888" spans="1:11" x14ac:dyDescent="0.3">
      <c r="A888" t="s">
        <v>198</v>
      </c>
      <c r="B888" t="s">
        <v>69</v>
      </c>
      <c r="C888" t="s">
        <v>9</v>
      </c>
      <c r="D888">
        <v>14</v>
      </c>
      <c r="E888">
        <v>24429</v>
      </c>
      <c r="F888">
        <v>11765</v>
      </c>
      <c r="G888" t="s">
        <v>10</v>
      </c>
      <c r="H888" t="str">
        <f>TEXT(CleanData[[#This Row],[Date]],"mmm")</f>
        <v>May</v>
      </c>
      <c r="I888">
        <f>WEEKNUM(CleanData[[#This Row],[Date]])</f>
        <v>21</v>
      </c>
      <c r="J888">
        <f>IF(CleanData[[#This Row],[Revenue]]&gt;=CleanData[[#This Row],[Target]],1,0)</f>
        <v>1</v>
      </c>
      <c r="K888">
        <f>IF(CleanData[[#This Row],[Attendance_Status]]="Present",1,0)</f>
        <v>1</v>
      </c>
    </row>
    <row r="889" spans="1:11" x14ac:dyDescent="0.3">
      <c r="A889" t="s">
        <v>165</v>
      </c>
      <c r="B889" t="s">
        <v>67</v>
      </c>
      <c r="C889" t="s">
        <v>13</v>
      </c>
      <c r="D889">
        <v>16</v>
      </c>
      <c r="E889">
        <v>13384</v>
      </c>
      <c r="F889">
        <v>17760</v>
      </c>
      <c r="G889" t="s">
        <v>10</v>
      </c>
      <c r="H889" t="str">
        <f>TEXT(CleanData[[#This Row],[Date]],"mmm")</f>
        <v>Feb</v>
      </c>
      <c r="I889">
        <f>WEEKNUM(CleanData[[#This Row],[Date]])</f>
        <v>9</v>
      </c>
      <c r="J889">
        <f>IF(CleanData[[#This Row],[Revenue]]&gt;=CleanData[[#This Row],[Target]],1,0)</f>
        <v>0</v>
      </c>
      <c r="K889">
        <f>IF(CleanData[[#This Row],[Attendance_Status]]="Present",1,0)</f>
        <v>1</v>
      </c>
    </row>
    <row r="890" spans="1:11" x14ac:dyDescent="0.3">
      <c r="A890" t="s">
        <v>7</v>
      </c>
      <c r="B890" t="s">
        <v>42</v>
      </c>
      <c r="C890" t="s">
        <v>22</v>
      </c>
      <c r="D890">
        <v>10</v>
      </c>
      <c r="E890">
        <v>16191</v>
      </c>
      <c r="F890">
        <v>19003</v>
      </c>
      <c r="G890" t="s">
        <v>10</v>
      </c>
      <c r="H890" t="str">
        <f>TEXT(CleanData[[#This Row],[Date]],"mmm")</f>
        <v>May</v>
      </c>
      <c r="I890">
        <f>WEEKNUM(CleanData[[#This Row],[Date]])</f>
        <v>20</v>
      </c>
      <c r="J890">
        <f>IF(CleanData[[#This Row],[Revenue]]&gt;=CleanData[[#This Row],[Target]],1,0)</f>
        <v>0</v>
      </c>
      <c r="K890">
        <f>IF(CleanData[[#This Row],[Attendance_Status]]="Present",1,0)</f>
        <v>1</v>
      </c>
    </row>
    <row r="891" spans="1:11" x14ac:dyDescent="0.3">
      <c r="A891" t="s">
        <v>30</v>
      </c>
      <c r="B891" t="s">
        <v>69</v>
      </c>
      <c r="C891" t="s">
        <v>22</v>
      </c>
      <c r="D891">
        <v>17</v>
      </c>
      <c r="E891">
        <v>10938</v>
      </c>
      <c r="F891">
        <v>12656</v>
      </c>
      <c r="G891" t="s">
        <v>10</v>
      </c>
      <c r="H891" t="str">
        <f>TEXT(CleanData[[#This Row],[Date]],"mmm")</f>
        <v>Mar</v>
      </c>
      <c r="I891">
        <f>WEEKNUM(CleanData[[#This Row],[Date]])</f>
        <v>11</v>
      </c>
      <c r="J891">
        <f>IF(CleanData[[#This Row],[Revenue]]&gt;=CleanData[[#This Row],[Target]],1,0)</f>
        <v>0</v>
      </c>
      <c r="K891">
        <f>IF(CleanData[[#This Row],[Attendance_Status]]="Present",1,0)</f>
        <v>1</v>
      </c>
    </row>
    <row r="892" spans="1:11" x14ac:dyDescent="0.3">
      <c r="A892" t="s">
        <v>155</v>
      </c>
      <c r="B892" t="s">
        <v>12</v>
      </c>
      <c r="C892" t="s">
        <v>13</v>
      </c>
      <c r="D892">
        <v>18</v>
      </c>
      <c r="E892">
        <v>27731</v>
      </c>
      <c r="F892">
        <v>11115</v>
      </c>
      <c r="G892" t="s">
        <v>10</v>
      </c>
      <c r="H892" t="str">
        <f>TEXT(CleanData[[#This Row],[Date]],"mmm")</f>
        <v>May</v>
      </c>
      <c r="I892">
        <f>WEEKNUM(CleanData[[#This Row],[Date]])</f>
        <v>20</v>
      </c>
      <c r="J892">
        <f>IF(CleanData[[#This Row],[Revenue]]&gt;=CleanData[[#This Row],[Target]],1,0)</f>
        <v>1</v>
      </c>
      <c r="K892">
        <f>IF(CleanData[[#This Row],[Attendance_Status]]="Present",1,0)</f>
        <v>1</v>
      </c>
    </row>
    <row r="893" spans="1:11" x14ac:dyDescent="0.3">
      <c r="A893" t="s">
        <v>220</v>
      </c>
      <c r="B893" t="s">
        <v>54</v>
      </c>
      <c r="C893" t="s">
        <v>22</v>
      </c>
      <c r="D893">
        <v>16</v>
      </c>
      <c r="E893">
        <v>18010</v>
      </c>
      <c r="F893">
        <v>24187</v>
      </c>
      <c r="G893" t="s">
        <v>10</v>
      </c>
      <c r="H893" t="str">
        <f>TEXT(CleanData[[#This Row],[Date]],"mmm")</f>
        <v>Apr</v>
      </c>
      <c r="I893">
        <f>WEEKNUM(CleanData[[#This Row],[Date]])</f>
        <v>18</v>
      </c>
      <c r="J893">
        <f>IF(CleanData[[#This Row],[Revenue]]&gt;=CleanData[[#This Row],[Target]],1,0)</f>
        <v>0</v>
      </c>
      <c r="K893">
        <f>IF(CleanData[[#This Row],[Attendance_Status]]="Present",1,0)</f>
        <v>1</v>
      </c>
    </row>
    <row r="894" spans="1:11" x14ac:dyDescent="0.3">
      <c r="A894" t="s">
        <v>43</v>
      </c>
      <c r="B894" t="s">
        <v>21</v>
      </c>
      <c r="C894" t="s">
        <v>9</v>
      </c>
      <c r="D894">
        <v>15</v>
      </c>
      <c r="E894">
        <v>29234</v>
      </c>
      <c r="F894">
        <v>21949</v>
      </c>
      <c r="G894" t="s">
        <v>10</v>
      </c>
      <c r="H894" t="str">
        <f>TEXT(CleanData[[#This Row],[Date]],"mmm")</f>
        <v>Feb</v>
      </c>
      <c r="I894">
        <f>WEEKNUM(CleanData[[#This Row],[Date]])</f>
        <v>8</v>
      </c>
      <c r="J894">
        <f>IF(CleanData[[#This Row],[Revenue]]&gt;=CleanData[[#This Row],[Target]],1,0)</f>
        <v>1</v>
      </c>
      <c r="K894">
        <f>IF(CleanData[[#This Row],[Attendance_Status]]="Present",1,0)</f>
        <v>1</v>
      </c>
    </row>
    <row r="895" spans="1:11" x14ac:dyDescent="0.3">
      <c r="A895" t="s">
        <v>130</v>
      </c>
      <c r="B895" t="s">
        <v>120</v>
      </c>
      <c r="C895" t="s">
        <v>13</v>
      </c>
      <c r="D895">
        <v>9</v>
      </c>
      <c r="E895">
        <v>24679</v>
      </c>
      <c r="F895">
        <v>11090</v>
      </c>
      <c r="G895" t="s">
        <v>10</v>
      </c>
      <c r="H895" t="str">
        <f>TEXT(CleanData[[#This Row],[Date]],"mmm")</f>
        <v>May</v>
      </c>
      <c r="I895">
        <f>WEEKNUM(CleanData[[#This Row],[Date]])</f>
        <v>20</v>
      </c>
      <c r="J895">
        <f>IF(CleanData[[#This Row],[Revenue]]&gt;=CleanData[[#This Row],[Target]],1,0)</f>
        <v>1</v>
      </c>
      <c r="K895">
        <f>IF(CleanData[[#This Row],[Attendance_Status]]="Present",1,0)</f>
        <v>1</v>
      </c>
    </row>
    <row r="896" spans="1:11" x14ac:dyDescent="0.3">
      <c r="A896" t="s">
        <v>72</v>
      </c>
      <c r="B896" t="s">
        <v>12</v>
      </c>
      <c r="C896" t="s">
        <v>22</v>
      </c>
      <c r="D896">
        <v>10</v>
      </c>
      <c r="E896">
        <v>23644</v>
      </c>
      <c r="F896">
        <v>12017</v>
      </c>
      <c r="G896" t="s">
        <v>26</v>
      </c>
      <c r="H896" t="str">
        <f>TEXT(CleanData[[#This Row],[Date]],"mmm")</f>
        <v>Mar</v>
      </c>
      <c r="I896">
        <f>WEEKNUM(CleanData[[#This Row],[Date]])</f>
        <v>10</v>
      </c>
      <c r="J896">
        <f>IF(CleanData[[#This Row],[Revenue]]&gt;=CleanData[[#This Row],[Target]],1,0)</f>
        <v>1</v>
      </c>
      <c r="K896">
        <f>IF(CleanData[[#This Row],[Attendance_Status]]="Present",1,0)</f>
        <v>0</v>
      </c>
    </row>
    <row r="897" spans="1:11" x14ac:dyDescent="0.3">
      <c r="A897" t="s">
        <v>210</v>
      </c>
      <c r="B897" t="s">
        <v>120</v>
      </c>
      <c r="C897" t="s">
        <v>9</v>
      </c>
      <c r="D897">
        <v>14</v>
      </c>
      <c r="E897">
        <v>7726</v>
      </c>
      <c r="F897">
        <v>17654</v>
      </c>
      <c r="G897" t="s">
        <v>10</v>
      </c>
      <c r="H897" t="str">
        <f>TEXT(CleanData[[#This Row],[Date]],"mmm")</f>
        <v>Apr</v>
      </c>
      <c r="I897">
        <f>WEEKNUM(CleanData[[#This Row],[Date]])</f>
        <v>17</v>
      </c>
      <c r="J897">
        <f>IF(CleanData[[#This Row],[Revenue]]&gt;=CleanData[[#This Row],[Target]],1,0)</f>
        <v>0</v>
      </c>
      <c r="K897">
        <f>IF(CleanData[[#This Row],[Attendance_Status]]="Present",1,0)</f>
        <v>1</v>
      </c>
    </row>
    <row r="898" spans="1:11" x14ac:dyDescent="0.3">
      <c r="A898" t="s">
        <v>110</v>
      </c>
      <c r="B898" t="s">
        <v>35</v>
      </c>
      <c r="C898" t="s">
        <v>22</v>
      </c>
      <c r="D898">
        <v>17</v>
      </c>
      <c r="E898">
        <v>7128</v>
      </c>
      <c r="F898">
        <v>14388</v>
      </c>
      <c r="G898" t="s">
        <v>10</v>
      </c>
      <c r="H898" t="str">
        <f>TEXT(CleanData[[#This Row],[Date]],"mmm")</f>
        <v>Apr</v>
      </c>
      <c r="I898">
        <f>WEEKNUM(CleanData[[#This Row],[Date]])</f>
        <v>15</v>
      </c>
      <c r="J898">
        <f>IF(CleanData[[#This Row],[Revenue]]&gt;=CleanData[[#This Row],[Target]],1,0)</f>
        <v>0</v>
      </c>
      <c r="K898">
        <f>IF(CleanData[[#This Row],[Attendance_Status]]="Present",1,0)</f>
        <v>1</v>
      </c>
    </row>
    <row r="899" spans="1:11" x14ac:dyDescent="0.3">
      <c r="A899" t="s">
        <v>94</v>
      </c>
      <c r="B899" t="s">
        <v>35</v>
      </c>
      <c r="C899" t="s">
        <v>9</v>
      </c>
      <c r="D899">
        <v>5</v>
      </c>
      <c r="E899">
        <v>16284</v>
      </c>
      <c r="F899">
        <v>13042</v>
      </c>
      <c r="G899" t="s">
        <v>10</v>
      </c>
      <c r="H899" t="str">
        <f>TEXT(CleanData[[#This Row],[Date]],"mmm")</f>
        <v>Feb</v>
      </c>
      <c r="I899">
        <f>WEEKNUM(CleanData[[#This Row],[Date]])</f>
        <v>5</v>
      </c>
      <c r="J899">
        <f>IF(CleanData[[#This Row],[Revenue]]&gt;=CleanData[[#This Row],[Target]],1,0)</f>
        <v>1</v>
      </c>
      <c r="K899">
        <f>IF(CleanData[[#This Row],[Attendance_Status]]="Present",1,0)</f>
        <v>1</v>
      </c>
    </row>
    <row r="900" spans="1:11" x14ac:dyDescent="0.3">
      <c r="A900" t="s">
        <v>176</v>
      </c>
      <c r="B900" t="s">
        <v>73</v>
      </c>
      <c r="C900" t="s">
        <v>13</v>
      </c>
      <c r="D900">
        <v>14</v>
      </c>
      <c r="E900">
        <v>21122</v>
      </c>
      <c r="F900">
        <v>12990</v>
      </c>
      <c r="G900" t="s">
        <v>10</v>
      </c>
      <c r="H900" t="str">
        <f>TEXT(CleanData[[#This Row],[Date]],"mmm")</f>
        <v>Mar</v>
      </c>
      <c r="I900">
        <f>WEEKNUM(CleanData[[#This Row],[Date]])</f>
        <v>13</v>
      </c>
      <c r="J900">
        <f>IF(CleanData[[#This Row],[Revenue]]&gt;=CleanData[[#This Row],[Target]],1,0)</f>
        <v>1</v>
      </c>
      <c r="K900">
        <f>IF(CleanData[[#This Row],[Attendance_Status]]="Present",1,0)</f>
        <v>1</v>
      </c>
    </row>
    <row r="901" spans="1:11" x14ac:dyDescent="0.3">
      <c r="A901" t="s">
        <v>99</v>
      </c>
      <c r="B901" t="s">
        <v>8</v>
      </c>
      <c r="C901" t="s">
        <v>13</v>
      </c>
      <c r="D901">
        <v>6</v>
      </c>
      <c r="E901">
        <v>29028</v>
      </c>
      <c r="F901">
        <v>12706</v>
      </c>
      <c r="G901" t="s">
        <v>10</v>
      </c>
      <c r="H901" t="str">
        <f>TEXT(CleanData[[#This Row],[Date]],"mmm")</f>
        <v>May</v>
      </c>
      <c r="I901">
        <f>WEEKNUM(CleanData[[#This Row],[Date]])</f>
        <v>22</v>
      </c>
      <c r="J901">
        <f>IF(CleanData[[#This Row],[Revenue]]&gt;=CleanData[[#This Row],[Target]],1,0)</f>
        <v>1</v>
      </c>
      <c r="K901">
        <f>IF(CleanData[[#This Row],[Attendance_Status]]="Present",1,0)</f>
        <v>1</v>
      </c>
    </row>
    <row r="902" spans="1:11" x14ac:dyDescent="0.3">
      <c r="A902" t="s">
        <v>154</v>
      </c>
      <c r="B902" t="s">
        <v>92</v>
      </c>
      <c r="C902" t="s">
        <v>22</v>
      </c>
      <c r="D902">
        <v>15</v>
      </c>
      <c r="E902">
        <v>13529</v>
      </c>
      <c r="F902">
        <v>21636</v>
      </c>
      <c r="G902" t="s">
        <v>10</v>
      </c>
      <c r="H902" t="str">
        <f>TEXT(CleanData[[#This Row],[Date]],"mmm")</f>
        <v>Jun</v>
      </c>
      <c r="I902">
        <f>WEEKNUM(CleanData[[#This Row],[Date]])</f>
        <v>24</v>
      </c>
      <c r="J902">
        <f>IF(CleanData[[#This Row],[Revenue]]&gt;=CleanData[[#This Row],[Target]],1,0)</f>
        <v>0</v>
      </c>
      <c r="K902">
        <f>IF(CleanData[[#This Row],[Attendance_Status]]="Present",1,0)</f>
        <v>1</v>
      </c>
    </row>
    <row r="903" spans="1:11" x14ac:dyDescent="0.3">
      <c r="A903" t="s">
        <v>122</v>
      </c>
      <c r="B903" t="s">
        <v>40</v>
      </c>
      <c r="C903" t="s">
        <v>9</v>
      </c>
      <c r="D903">
        <v>20</v>
      </c>
      <c r="E903">
        <v>8921</v>
      </c>
      <c r="F903">
        <v>19845</v>
      </c>
      <c r="G903" t="s">
        <v>10</v>
      </c>
      <c r="H903" t="str">
        <f>TEXT(CleanData[[#This Row],[Date]],"mmm")</f>
        <v>Feb</v>
      </c>
      <c r="I903">
        <f>WEEKNUM(CleanData[[#This Row],[Date]])</f>
        <v>6</v>
      </c>
      <c r="J903">
        <f>IF(CleanData[[#This Row],[Revenue]]&gt;=CleanData[[#This Row],[Target]],1,0)</f>
        <v>0</v>
      </c>
      <c r="K903">
        <f>IF(CleanData[[#This Row],[Attendance_Status]]="Present",1,0)</f>
        <v>1</v>
      </c>
    </row>
    <row r="904" spans="1:11" x14ac:dyDescent="0.3">
      <c r="A904" t="s">
        <v>217</v>
      </c>
      <c r="B904" t="s">
        <v>31</v>
      </c>
      <c r="C904" t="s">
        <v>13</v>
      </c>
      <c r="D904">
        <v>17</v>
      </c>
      <c r="E904">
        <v>14204</v>
      </c>
      <c r="F904">
        <v>24752</v>
      </c>
      <c r="G904" t="s">
        <v>26</v>
      </c>
      <c r="H904" t="str">
        <f>TEXT(CleanData[[#This Row],[Date]],"mmm")</f>
        <v>Feb</v>
      </c>
      <c r="I904">
        <f>WEEKNUM(CleanData[[#This Row],[Date]])</f>
        <v>9</v>
      </c>
      <c r="J904">
        <f>IF(CleanData[[#This Row],[Revenue]]&gt;=CleanData[[#This Row],[Target]],1,0)</f>
        <v>0</v>
      </c>
      <c r="K904">
        <f>IF(CleanData[[#This Row],[Attendance_Status]]="Present",1,0)</f>
        <v>0</v>
      </c>
    </row>
    <row r="905" spans="1:11" x14ac:dyDescent="0.3">
      <c r="A905" t="s">
        <v>99</v>
      </c>
      <c r="B905" t="s">
        <v>52</v>
      </c>
      <c r="C905" t="s">
        <v>22</v>
      </c>
      <c r="D905">
        <v>13</v>
      </c>
      <c r="E905">
        <v>23475</v>
      </c>
      <c r="F905">
        <v>14997</v>
      </c>
      <c r="G905" t="s">
        <v>10</v>
      </c>
      <c r="H905" t="str">
        <f>TEXT(CleanData[[#This Row],[Date]],"mmm")</f>
        <v>May</v>
      </c>
      <c r="I905">
        <f>WEEKNUM(CleanData[[#This Row],[Date]])</f>
        <v>22</v>
      </c>
      <c r="J905">
        <f>IF(CleanData[[#This Row],[Revenue]]&gt;=CleanData[[#This Row],[Target]],1,0)</f>
        <v>1</v>
      </c>
      <c r="K905">
        <f>IF(CleanData[[#This Row],[Attendance_Status]]="Present",1,0)</f>
        <v>1</v>
      </c>
    </row>
    <row r="906" spans="1:11" x14ac:dyDescent="0.3">
      <c r="A906" t="s">
        <v>98</v>
      </c>
      <c r="B906" t="s">
        <v>92</v>
      </c>
      <c r="C906" t="s">
        <v>9</v>
      </c>
      <c r="D906">
        <v>19</v>
      </c>
      <c r="E906">
        <v>21708</v>
      </c>
      <c r="F906">
        <v>16853</v>
      </c>
      <c r="G906" t="s">
        <v>10</v>
      </c>
      <c r="H906" t="str">
        <f>TEXT(CleanData[[#This Row],[Date]],"mmm")</f>
        <v>Mar</v>
      </c>
      <c r="I906">
        <f>WEEKNUM(CleanData[[#This Row],[Date]])</f>
        <v>10</v>
      </c>
      <c r="J906">
        <f>IF(CleanData[[#This Row],[Revenue]]&gt;=CleanData[[#This Row],[Target]],1,0)</f>
        <v>1</v>
      </c>
      <c r="K906">
        <f>IF(CleanData[[#This Row],[Attendance_Status]]="Present",1,0)</f>
        <v>1</v>
      </c>
    </row>
    <row r="907" spans="1:11" x14ac:dyDescent="0.3">
      <c r="A907" t="s">
        <v>207</v>
      </c>
      <c r="B907" t="s">
        <v>33</v>
      </c>
      <c r="C907" t="s">
        <v>22</v>
      </c>
      <c r="D907">
        <v>25</v>
      </c>
      <c r="E907">
        <v>20392</v>
      </c>
      <c r="F907">
        <v>20785</v>
      </c>
      <c r="G907" t="s">
        <v>10</v>
      </c>
      <c r="H907" t="str">
        <f>TEXT(CleanData[[#This Row],[Date]],"mmm")</f>
        <v>Mar</v>
      </c>
      <c r="I907">
        <f>WEEKNUM(CleanData[[#This Row],[Date]])</f>
        <v>12</v>
      </c>
      <c r="J907">
        <f>IF(CleanData[[#This Row],[Revenue]]&gt;=CleanData[[#This Row],[Target]],1,0)</f>
        <v>0</v>
      </c>
      <c r="K907">
        <f>IF(CleanData[[#This Row],[Attendance_Status]]="Present",1,0)</f>
        <v>1</v>
      </c>
    </row>
    <row r="908" spans="1:11" x14ac:dyDescent="0.3">
      <c r="A908" t="s">
        <v>150</v>
      </c>
      <c r="B908" t="s">
        <v>69</v>
      </c>
      <c r="C908" t="s">
        <v>13</v>
      </c>
      <c r="D908">
        <v>17</v>
      </c>
      <c r="E908">
        <v>14453</v>
      </c>
      <c r="F908">
        <v>19270</v>
      </c>
      <c r="G908" t="s">
        <v>10</v>
      </c>
      <c r="H908" t="str">
        <f>TEXT(CleanData[[#This Row],[Date]],"mmm")</f>
        <v>Feb</v>
      </c>
      <c r="I908">
        <f>WEEKNUM(CleanData[[#This Row],[Date]])</f>
        <v>6</v>
      </c>
      <c r="J908">
        <f>IF(CleanData[[#This Row],[Revenue]]&gt;=CleanData[[#This Row],[Target]],1,0)</f>
        <v>0</v>
      </c>
      <c r="K908">
        <f>IF(CleanData[[#This Row],[Attendance_Status]]="Present",1,0)</f>
        <v>1</v>
      </c>
    </row>
    <row r="909" spans="1:11" x14ac:dyDescent="0.3">
      <c r="A909" t="s">
        <v>136</v>
      </c>
      <c r="B909" t="s">
        <v>40</v>
      </c>
      <c r="C909" t="s">
        <v>9</v>
      </c>
      <c r="D909">
        <v>25</v>
      </c>
      <c r="E909">
        <v>11932</v>
      </c>
      <c r="F909">
        <v>10708</v>
      </c>
      <c r="G909" t="s">
        <v>10</v>
      </c>
      <c r="H909" t="str">
        <f>TEXT(CleanData[[#This Row],[Date]],"mmm")</f>
        <v>Mar</v>
      </c>
      <c r="I909">
        <f>WEEKNUM(CleanData[[#This Row],[Date]])</f>
        <v>11</v>
      </c>
      <c r="J909">
        <f>IF(CleanData[[#This Row],[Revenue]]&gt;=CleanData[[#This Row],[Target]],1,0)</f>
        <v>1</v>
      </c>
      <c r="K909">
        <f>IF(CleanData[[#This Row],[Attendance_Status]]="Present",1,0)</f>
        <v>1</v>
      </c>
    </row>
    <row r="910" spans="1:11" x14ac:dyDescent="0.3">
      <c r="A910" t="s">
        <v>160</v>
      </c>
      <c r="B910" t="s">
        <v>75</v>
      </c>
      <c r="C910" t="s">
        <v>22</v>
      </c>
      <c r="D910">
        <v>20</v>
      </c>
      <c r="E910">
        <v>12007</v>
      </c>
      <c r="F910">
        <v>10988</v>
      </c>
      <c r="G910" t="s">
        <v>10</v>
      </c>
      <c r="H910" t="str">
        <f>TEXT(CleanData[[#This Row],[Date]],"mmm")</f>
        <v>Feb</v>
      </c>
      <c r="I910">
        <f>WEEKNUM(CleanData[[#This Row],[Date]])</f>
        <v>7</v>
      </c>
      <c r="J910">
        <f>IF(CleanData[[#This Row],[Revenue]]&gt;=CleanData[[#This Row],[Target]],1,0)</f>
        <v>1</v>
      </c>
      <c r="K910">
        <f>IF(CleanData[[#This Row],[Attendance_Status]]="Present",1,0)</f>
        <v>1</v>
      </c>
    </row>
    <row r="911" spans="1:11" x14ac:dyDescent="0.3">
      <c r="A911" t="s">
        <v>184</v>
      </c>
      <c r="B911" t="s">
        <v>29</v>
      </c>
      <c r="C911" t="s">
        <v>22</v>
      </c>
      <c r="D911">
        <v>11</v>
      </c>
      <c r="E911">
        <v>9931</v>
      </c>
      <c r="F911">
        <v>10798</v>
      </c>
      <c r="G911" t="s">
        <v>10</v>
      </c>
      <c r="H911" t="str">
        <f>TEXT(CleanData[[#This Row],[Date]],"mmm")</f>
        <v>Apr</v>
      </c>
      <c r="I911">
        <f>WEEKNUM(CleanData[[#This Row],[Date]])</f>
        <v>17</v>
      </c>
      <c r="J911">
        <f>IF(CleanData[[#This Row],[Revenue]]&gt;=CleanData[[#This Row],[Target]],1,0)</f>
        <v>0</v>
      </c>
      <c r="K911">
        <f>IF(CleanData[[#This Row],[Attendance_Status]]="Present",1,0)</f>
        <v>1</v>
      </c>
    </row>
    <row r="912" spans="1:11" x14ac:dyDescent="0.3">
      <c r="A912" t="s">
        <v>178</v>
      </c>
      <c r="B912" t="s">
        <v>8</v>
      </c>
      <c r="C912" t="s">
        <v>9</v>
      </c>
      <c r="D912">
        <v>5</v>
      </c>
      <c r="E912">
        <v>10886</v>
      </c>
      <c r="F912">
        <v>24173</v>
      </c>
      <c r="G912" t="s">
        <v>26</v>
      </c>
      <c r="H912" t="str">
        <f>TEXT(CleanData[[#This Row],[Date]],"mmm")</f>
        <v>Feb</v>
      </c>
      <c r="I912">
        <f>WEEKNUM(CleanData[[#This Row],[Date]])</f>
        <v>9</v>
      </c>
      <c r="J912">
        <f>IF(CleanData[[#This Row],[Revenue]]&gt;=CleanData[[#This Row],[Target]],1,0)</f>
        <v>0</v>
      </c>
      <c r="K912">
        <f>IF(CleanData[[#This Row],[Attendance_Status]]="Present",1,0)</f>
        <v>0</v>
      </c>
    </row>
    <row r="913" spans="1:11" x14ac:dyDescent="0.3">
      <c r="A913" t="s">
        <v>168</v>
      </c>
      <c r="B913" t="s">
        <v>8</v>
      </c>
      <c r="C913" t="s">
        <v>9</v>
      </c>
      <c r="D913">
        <v>10</v>
      </c>
      <c r="E913">
        <v>16618</v>
      </c>
      <c r="F913">
        <v>21666</v>
      </c>
      <c r="G913" t="s">
        <v>10</v>
      </c>
      <c r="H913" t="str">
        <f>TEXT(CleanData[[#This Row],[Date]],"mmm")</f>
        <v>Mar</v>
      </c>
      <c r="I913">
        <f>WEEKNUM(CleanData[[#This Row],[Date]])</f>
        <v>13</v>
      </c>
      <c r="J913">
        <f>IF(CleanData[[#This Row],[Revenue]]&gt;=CleanData[[#This Row],[Target]],1,0)</f>
        <v>0</v>
      </c>
      <c r="K913">
        <f>IF(CleanData[[#This Row],[Attendance_Status]]="Present",1,0)</f>
        <v>1</v>
      </c>
    </row>
    <row r="914" spans="1:11" x14ac:dyDescent="0.3">
      <c r="A914" t="s">
        <v>93</v>
      </c>
      <c r="B914" t="s">
        <v>19</v>
      </c>
      <c r="C914" t="s">
        <v>9</v>
      </c>
      <c r="D914">
        <v>19</v>
      </c>
      <c r="E914">
        <v>15365</v>
      </c>
      <c r="F914">
        <v>13106</v>
      </c>
      <c r="G914" t="s">
        <v>10</v>
      </c>
      <c r="H914" t="str">
        <f>TEXT(CleanData[[#This Row],[Date]],"mmm")</f>
        <v>Mar</v>
      </c>
      <c r="I914">
        <f>WEEKNUM(CleanData[[#This Row],[Date]])</f>
        <v>12</v>
      </c>
      <c r="J914">
        <f>IF(CleanData[[#This Row],[Revenue]]&gt;=CleanData[[#This Row],[Target]],1,0)</f>
        <v>1</v>
      </c>
      <c r="K914">
        <f>IF(CleanData[[#This Row],[Attendance_Status]]="Present",1,0)</f>
        <v>1</v>
      </c>
    </row>
    <row r="915" spans="1:11" x14ac:dyDescent="0.3">
      <c r="A915" t="s">
        <v>23</v>
      </c>
      <c r="B915" t="s">
        <v>33</v>
      </c>
      <c r="C915" t="s">
        <v>13</v>
      </c>
      <c r="D915">
        <v>19</v>
      </c>
      <c r="E915">
        <v>10150</v>
      </c>
      <c r="F915">
        <v>12798</v>
      </c>
      <c r="G915" t="s">
        <v>10</v>
      </c>
      <c r="H915" t="str">
        <f>TEXT(CleanData[[#This Row],[Date]],"mmm")</f>
        <v>Mar</v>
      </c>
      <c r="I915">
        <f>WEEKNUM(CleanData[[#This Row],[Date]])</f>
        <v>10</v>
      </c>
      <c r="J915">
        <f>IF(CleanData[[#This Row],[Revenue]]&gt;=CleanData[[#This Row],[Target]],1,0)</f>
        <v>0</v>
      </c>
      <c r="K915">
        <f>IF(CleanData[[#This Row],[Attendance_Status]]="Present",1,0)</f>
        <v>1</v>
      </c>
    </row>
    <row r="916" spans="1:11" x14ac:dyDescent="0.3">
      <c r="A916" t="s">
        <v>70</v>
      </c>
      <c r="B916" t="s">
        <v>54</v>
      </c>
      <c r="C916" t="s">
        <v>22</v>
      </c>
      <c r="D916">
        <v>13</v>
      </c>
      <c r="E916">
        <v>14119</v>
      </c>
      <c r="F916">
        <v>19217</v>
      </c>
      <c r="G916" t="s">
        <v>10</v>
      </c>
      <c r="H916" t="str">
        <f>TEXT(CleanData[[#This Row],[Date]],"mmm")</f>
        <v>May</v>
      </c>
      <c r="I916">
        <f>WEEKNUM(CleanData[[#This Row],[Date]])</f>
        <v>19</v>
      </c>
      <c r="J916">
        <f>IF(CleanData[[#This Row],[Revenue]]&gt;=CleanData[[#This Row],[Target]],1,0)</f>
        <v>0</v>
      </c>
      <c r="K916">
        <f>IF(CleanData[[#This Row],[Attendance_Status]]="Present",1,0)</f>
        <v>1</v>
      </c>
    </row>
    <row r="917" spans="1:11" x14ac:dyDescent="0.3">
      <c r="A917" t="s">
        <v>203</v>
      </c>
      <c r="B917" t="s">
        <v>79</v>
      </c>
      <c r="C917" t="s">
        <v>13</v>
      </c>
      <c r="D917">
        <v>23</v>
      </c>
      <c r="E917">
        <v>17908</v>
      </c>
      <c r="F917">
        <v>22231</v>
      </c>
      <c r="G917" t="s">
        <v>10</v>
      </c>
      <c r="H917" t="str">
        <f>TEXT(CleanData[[#This Row],[Date]],"mmm")</f>
        <v>Jan</v>
      </c>
      <c r="I917">
        <f>WEEKNUM(CleanData[[#This Row],[Date]])</f>
        <v>3</v>
      </c>
      <c r="J917">
        <f>IF(CleanData[[#This Row],[Revenue]]&gt;=CleanData[[#This Row],[Target]],1,0)</f>
        <v>0</v>
      </c>
      <c r="K917">
        <f>IF(CleanData[[#This Row],[Attendance_Status]]="Present",1,0)</f>
        <v>1</v>
      </c>
    </row>
    <row r="918" spans="1:11" x14ac:dyDescent="0.3">
      <c r="A918" t="s">
        <v>90</v>
      </c>
      <c r="B918" t="s">
        <v>48</v>
      </c>
      <c r="C918" t="s">
        <v>13</v>
      </c>
      <c r="D918">
        <v>10</v>
      </c>
      <c r="E918">
        <v>10700</v>
      </c>
      <c r="F918">
        <v>15740</v>
      </c>
      <c r="G918" t="s">
        <v>10</v>
      </c>
      <c r="H918" t="str">
        <f>TEXT(CleanData[[#This Row],[Date]],"mmm")</f>
        <v>May</v>
      </c>
      <c r="I918">
        <f>WEEKNUM(CleanData[[#This Row],[Date]])</f>
        <v>19</v>
      </c>
      <c r="J918">
        <f>IF(CleanData[[#This Row],[Revenue]]&gt;=CleanData[[#This Row],[Target]],1,0)</f>
        <v>0</v>
      </c>
      <c r="K918">
        <f>IF(CleanData[[#This Row],[Attendance_Status]]="Present",1,0)</f>
        <v>1</v>
      </c>
    </row>
    <row r="919" spans="1:11" x14ac:dyDescent="0.3">
      <c r="A919" t="s">
        <v>55</v>
      </c>
      <c r="B919" t="s">
        <v>15</v>
      </c>
      <c r="C919" t="s">
        <v>22</v>
      </c>
      <c r="D919">
        <v>23</v>
      </c>
      <c r="E919">
        <v>25465</v>
      </c>
      <c r="F919">
        <v>16340</v>
      </c>
      <c r="G919" t="s">
        <v>10</v>
      </c>
      <c r="H919" t="str">
        <f>TEXT(CleanData[[#This Row],[Date]],"mmm")</f>
        <v>Feb</v>
      </c>
      <c r="I919">
        <f>WEEKNUM(CleanData[[#This Row],[Date]])</f>
        <v>8</v>
      </c>
      <c r="J919">
        <f>IF(CleanData[[#This Row],[Revenue]]&gt;=CleanData[[#This Row],[Target]],1,0)</f>
        <v>1</v>
      </c>
      <c r="K919">
        <f>IF(CleanData[[#This Row],[Attendance_Status]]="Present",1,0)</f>
        <v>1</v>
      </c>
    </row>
    <row r="920" spans="1:11" x14ac:dyDescent="0.3">
      <c r="A920" t="s">
        <v>209</v>
      </c>
      <c r="B920" t="s">
        <v>21</v>
      </c>
      <c r="C920" t="s">
        <v>9</v>
      </c>
      <c r="D920">
        <v>6</v>
      </c>
      <c r="E920">
        <v>26064</v>
      </c>
      <c r="F920">
        <v>13690</v>
      </c>
      <c r="G920" t="s">
        <v>10</v>
      </c>
      <c r="H920" t="str">
        <f>TEXT(CleanData[[#This Row],[Date]],"mmm")</f>
        <v>Feb</v>
      </c>
      <c r="I920">
        <f>WEEKNUM(CleanData[[#This Row],[Date]])</f>
        <v>5</v>
      </c>
      <c r="J920">
        <f>IF(CleanData[[#This Row],[Revenue]]&gt;=CleanData[[#This Row],[Target]],1,0)</f>
        <v>1</v>
      </c>
      <c r="K920">
        <f>IF(CleanData[[#This Row],[Attendance_Status]]="Present",1,0)</f>
        <v>1</v>
      </c>
    </row>
    <row r="921" spans="1:11" x14ac:dyDescent="0.3">
      <c r="A921" t="s">
        <v>47</v>
      </c>
      <c r="B921" t="s">
        <v>69</v>
      </c>
      <c r="C921" t="s">
        <v>9</v>
      </c>
      <c r="D921">
        <v>11</v>
      </c>
      <c r="E921">
        <v>20651</v>
      </c>
      <c r="F921">
        <v>12654</v>
      </c>
      <c r="G921" t="s">
        <v>10</v>
      </c>
      <c r="H921" t="str">
        <f>TEXT(CleanData[[#This Row],[Date]],"mmm")</f>
        <v>May</v>
      </c>
      <c r="I921">
        <f>WEEKNUM(CleanData[[#This Row],[Date]])</f>
        <v>22</v>
      </c>
      <c r="J921">
        <f>IF(CleanData[[#This Row],[Revenue]]&gt;=CleanData[[#This Row],[Target]],1,0)</f>
        <v>1</v>
      </c>
      <c r="K921">
        <f>IF(CleanData[[#This Row],[Attendance_Status]]="Present",1,0)</f>
        <v>1</v>
      </c>
    </row>
    <row r="922" spans="1:11" x14ac:dyDescent="0.3">
      <c r="A922" t="s">
        <v>80</v>
      </c>
      <c r="B922" t="s">
        <v>37</v>
      </c>
      <c r="C922" t="s">
        <v>22</v>
      </c>
      <c r="D922">
        <v>25</v>
      </c>
      <c r="E922">
        <v>25440</v>
      </c>
      <c r="F922">
        <v>10762</v>
      </c>
      <c r="G922" t="s">
        <v>10</v>
      </c>
      <c r="H922" t="str">
        <f>TEXT(CleanData[[#This Row],[Date]],"mmm")</f>
        <v>May</v>
      </c>
      <c r="I922">
        <f>WEEKNUM(CleanData[[#This Row],[Date]])</f>
        <v>21</v>
      </c>
      <c r="J922">
        <f>IF(CleanData[[#This Row],[Revenue]]&gt;=CleanData[[#This Row],[Target]],1,0)</f>
        <v>1</v>
      </c>
      <c r="K922">
        <f>IF(CleanData[[#This Row],[Attendance_Status]]="Present",1,0)</f>
        <v>1</v>
      </c>
    </row>
    <row r="923" spans="1:11" x14ac:dyDescent="0.3">
      <c r="A923" t="s">
        <v>193</v>
      </c>
      <c r="B923" t="s">
        <v>50</v>
      </c>
      <c r="C923" t="s">
        <v>22</v>
      </c>
      <c r="D923">
        <v>16</v>
      </c>
      <c r="E923">
        <v>12765</v>
      </c>
      <c r="F923">
        <v>21895</v>
      </c>
      <c r="G923" t="s">
        <v>10</v>
      </c>
      <c r="H923" t="str">
        <f>TEXT(CleanData[[#This Row],[Date]],"mmm")</f>
        <v>May</v>
      </c>
      <c r="I923">
        <f>WEEKNUM(CleanData[[#This Row],[Date]])</f>
        <v>22</v>
      </c>
      <c r="J923">
        <f>IF(CleanData[[#This Row],[Revenue]]&gt;=CleanData[[#This Row],[Target]],1,0)</f>
        <v>0</v>
      </c>
      <c r="K923">
        <f>IF(CleanData[[#This Row],[Attendance_Status]]="Present",1,0)</f>
        <v>1</v>
      </c>
    </row>
    <row r="924" spans="1:11" x14ac:dyDescent="0.3">
      <c r="A924" t="s">
        <v>221</v>
      </c>
      <c r="B924" t="s">
        <v>35</v>
      </c>
      <c r="C924" t="s">
        <v>22</v>
      </c>
      <c r="D924">
        <v>14</v>
      </c>
      <c r="E924">
        <v>15600</v>
      </c>
      <c r="F924">
        <v>22574</v>
      </c>
      <c r="G924" t="s">
        <v>10</v>
      </c>
      <c r="H924" t="str">
        <f>TEXT(CleanData[[#This Row],[Date]],"mmm")</f>
        <v>May</v>
      </c>
      <c r="I924">
        <f>WEEKNUM(CleanData[[#This Row],[Date]])</f>
        <v>20</v>
      </c>
      <c r="J924">
        <f>IF(CleanData[[#This Row],[Revenue]]&gt;=CleanData[[#This Row],[Target]],1,0)</f>
        <v>0</v>
      </c>
      <c r="K924">
        <f>IF(CleanData[[#This Row],[Attendance_Status]]="Present",1,0)</f>
        <v>1</v>
      </c>
    </row>
    <row r="925" spans="1:11" x14ac:dyDescent="0.3">
      <c r="A925" t="s">
        <v>119</v>
      </c>
      <c r="B925" t="s">
        <v>31</v>
      </c>
      <c r="C925" t="s">
        <v>13</v>
      </c>
      <c r="D925">
        <v>11</v>
      </c>
      <c r="E925">
        <v>10397</v>
      </c>
      <c r="F925">
        <v>18740</v>
      </c>
      <c r="G925" t="s">
        <v>10</v>
      </c>
      <c r="H925" t="str">
        <f>TEXT(CleanData[[#This Row],[Date]],"mmm")</f>
        <v>Jan</v>
      </c>
      <c r="I925">
        <f>WEEKNUM(CleanData[[#This Row],[Date]])</f>
        <v>4</v>
      </c>
      <c r="J925">
        <f>IF(CleanData[[#This Row],[Revenue]]&gt;=CleanData[[#This Row],[Target]],1,0)</f>
        <v>0</v>
      </c>
      <c r="K925">
        <f>IF(CleanData[[#This Row],[Attendance_Status]]="Present",1,0)</f>
        <v>1</v>
      </c>
    </row>
    <row r="926" spans="1:11" x14ac:dyDescent="0.3">
      <c r="A926" t="s">
        <v>123</v>
      </c>
      <c r="B926" t="s">
        <v>31</v>
      </c>
      <c r="C926" t="s">
        <v>13</v>
      </c>
      <c r="D926">
        <v>25</v>
      </c>
      <c r="E926">
        <v>17652</v>
      </c>
      <c r="F926">
        <v>19995</v>
      </c>
      <c r="G926" t="s">
        <v>10</v>
      </c>
      <c r="H926" t="str">
        <f>TEXT(CleanData[[#This Row],[Date]],"mmm")</f>
        <v>Jun</v>
      </c>
      <c r="I926">
        <f>WEEKNUM(CleanData[[#This Row],[Date]])</f>
        <v>23</v>
      </c>
      <c r="J926">
        <f>IF(CleanData[[#This Row],[Revenue]]&gt;=CleanData[[#This Row],[Target]],1,0)</f>
        <v>0</v>
      </c>
      <c r="K926">
        <f>IF(CleanData[[#This Row],[Attendance_Status]]="Present",1,0)</f>
        <v>1</v>
      </c>
    </row>
    <row r="927" spans="1:11" x14ac:dyDescent="0.3">
      <c r="A927" t="s">
        <v>134</v>
      </c>
      <c r="B927" t="s">
        <v>12</v>
      </c>
      <c r="C927" t="s">
        <v>13</v>
      </c>
      <c r="D927">
        <v>6</v>
      </c>
      <c r="E927">
        <v>21218</v>
      </c>
      <c r="F927">
        <v>12182</v>
      </c>
      <c r="G927" t="s">
        <v>10</v>
      </c>
      <c r="H927" t="str">
        <f>TEXT(CleanData[[#This Row],[Date]],"mmm")</f>
        <v>Feb</v>
      </c>
      <c r="I927">
        <f>WEEKNUM(CleanData[[#This Row],[Date]])</f>
        <v>6</v>
      </c>
      <c r="J927">
        <f>IF(CleanData[[#This Row],[Revenue]]&gt;=CleanData[[#This Row],[Target]],1,0)</f>
        <v>1</v>
      </c>
      <c r="K927">
        <f>IF(CleanData[[#This Row],[Attendance_Status]]="Present",1,0)</f>
        <v>1</v>
      </c>
    </row>
    <row r="928" spans="1:11" x14ac:dyDescent="0.3">
      <c r="A928" t="s">
        <v>161</v>
      </c>
      <c r="B928" t="s">
        <v>101</v>
      </c>
      <c r="C928" t="s">
        <v>13</v>
      </c>
      <c r="D928">
        <v>19</v>
      </c>
      <c r="E928">
        <v>27298</v>
      </c>
      <c r="F928">
        <v>12750</v>
      </c>
      <c r="G928" t="s">
        <v>10</v>
      </c>
      <c r="H928" t="str">
        <f>TEXT(CleanData[[#This Row],[Date]],"mmm")</f>
        <v>Mar</v>
      </c>
      <c r="I928">
        <f>WEEKNUM(CleanData[[#This Row],[Date]])</f>
        <v>13</v>
      </c>
      <c r="J928">
        <f>IF(CleanData[[#This Row],[Revenue]]&gt;=CleanData[[#This Row],[Target]],1,0)</f>
        <v>1</v>
      </c>
      <c r="K928">
        <f>IF(CleanData[[#This Row],[Attendance_Status]]="Present",1,0)</f>
        <v>1</v>
      </c>
    </row>
    <row r="929" spans="1:11" x14ac:dyDescent="0.3">
      <c r="A929" t="s">
        <v>217</v>
      </c>
      <c r="B929" t="s">
        <v>52</v>
      </c>
      <c r="C929" t="s">
        <v>22</v>
      </c>
      <c r="D929">
        <v>19</v>
      </c>
      <c r="E929">
        <v>26922</v>
      </c>
      <c r="F929">
        <v>15918</v>
      </c>
      <c r="G929" t="s">
        <v>10</v>
      </c>
      <c r="H929" t="str">
        <f>TEXT(CleanData[[#This Row],[Date]],"mmm")</f>
        <v>Feb</v>
      </c>
      <c r="I929">
        <f>WEEKNUM(CleanData[[#This Row],[Date]])</f>
        <v>9</v>
      </c>
      <c r="J929">
        <f>IF(CleanData[[#This Row],[Revenue]]&gt;=CleanData[[#This Row],[Target]],1,0)</f>
        <v>1</v>
      </c>
      <c r="K929">
        <f>IF(CleanData[[#This Row],[Attendance_Status]]="Present",1,0)</f>
        <v>1</v>
      </c>
    </row>
    <row r="930" spans="1:11" x14ac:dyDescent="0.3">
      <c r="A930" t="s">
        <v>90</v>
      </c>
      <c r="B930" t="s">
        <v>54</v>
      </c>
      <c r="C930" t="s">
        <v>9</v>
      </c>
      <c r="D930">
        <v>20</v>
      </c>
      <c r="E930">
        <v>21315</v>
      </c>
      <c r="F930">
        <v>13582</v>
      </c>
      <c r="G930" t="s">
        <v>10</v>
      </c>
      <c r="H930" t="str">
        <f>TEXT(CleanData[[#This Row],[Date]],"mmm")</f>
        <v>May</v>
      </c>
      <c r="I930">
        <f>WEEKNUM(CleanData[[#This Row],[Date]])</f>
        <v>19</v>
      </c>
      <c r="J930">
        <f>IF(CleanData[[#This Row],[Revenue]]&gt;=CleanData[[#This Row],[Target]],1,0)</f>
        <v>1</v>
      </c>
      <c r="K930">
        <f>IF(CleanData[[#This Row],[Attendance_Status]]="Present",1,0)</f>
        <v>1</v>
      </c>
    </row>
    <row r="931" spans="1:11" x14ac:dyDescent="0.3">
      <c r="A931" t="s">
        <v>136</v>
      </c>
      <c r="B931" t="s">
        <v>15</v>
      </c>
      <c r="C931" t="s">
        <v>13</v>
      </c>
      <c r="D931">
        <v>22</v>
      </c>
      <c r="E931">
        <v>12099</v>
      </c>
      <c r="F931">
        <v>22746</v>
      </c>
      <c r="G931" t="s">
        <v>10</v>
      </c>
      <c r="H931" t="str">
        <f>TEXT(CleanData[[#This Row],[Date]],"mmm")</f>
        <v>Mar</v>
      </c>
      <c r="I931">
        <f>WEEKNUM(CleanData[[#This Row],[Date]])</f>
        <v>11</v>
      </c>
      <c r="J931">
        <f>IF(CleanData[[#This Row],[Revenue]]&gt;=CleanData[[#This Row],[Target]],1,0)</f>
        <v>0</v>
      </c>
      <c r="K931">
        <f>IF(CleanData[[#This Row],[Attendance_Status]]="Present",1,0)</f>
        <v>1</v>
      </c>
    </row>
    <row r="932" spans="1:11" x14ac:dyDescent="0.3">
      <c r="A932" t="s">
        <v>128</v>
      </c>
      <c r="B932" t="s">
        <v>48</v>
      </c>
      <c r="C932" t="s">
        <v>9</v>
      </c>
      <c r="D932">
        <v>9</v>
      </c>
      <c r="E932">
        <v>8853</v>
      </c>
      <c r="F932">
        <v>23600</v>
      </c>
      <c r="G932" t="s">
        <v>10</v>
      </c>
      <c r="H932" t="str">
        <f>TEXT(CleanData[[#This Row],[Date]],"mmm")</f>
        <v>Jan</v>
      </c>
      <c r="I932">
        <f>WEEKNUM(CleanData[[#This Row],[Date]])</f>
        <v>4</v>
      </c>
      <c r="J932">
        <f>IF(CleanData[[#This Row],[Revenue]]&gt;=CleanData[[#This Row],[Target]],1,0)</f>
        <v>0</v>
      </c>
      <c r="K932">
        <f>IF(CleanData[[#This Row],[Attendance_Status]]="Present",1,0)</f>
        <v>1</v>
      </c>
    </row>
    <row r="933" spans="1:11" x14ac:dyDescent="0.3">
      <c r="A933" t="s">
        <v>203</v>
      </c>
      <c r="B933" t="s">
        <v>46</v>
      </c>
      <c r="C933" t="s">
        <v>13</v>
      </c>
      <c r="D933">
        <v>18</v>
      </c>
      <c r="E933">
        <v>13530</v>
      </c>
      <c r="F933">
        <v>12913</v>
      </c>
      <c r="G933" t="s">
        <v>10</v>
      </c>
      <c r="H933" t="str">
        <f>TEXT(CleanData[[#This Row],[Date]],"mmm")</f>
        <v>Jan</v>
      </c>
      <c r="I933">
        <f>WEEKNUM(CleanData[[#This Row],[Date]])</f>
        <v>3</v>
      </c>
      <c r="J933">
        <f>IF(CleanData[[#This Row],[Revenue]]&gt;=CleanData[[#This Row],[Target]],1,0)</f>
        <v>1</v>
      </c>
      <c r="K933">
        <f>IF(CleanData[[#This Row],[Attendance_Status]]="Present",1,0)</f>
        <v>1</v>
      </c>
    </row>
    <row r="934" spans="1:11" x14ac:dyDescent="0.3">
      <c r="A934" t="s">
        <v>49</v>
      </c>
      <c r="B934" t="s">
        <v>31</v>
      </c>
      <c r="C934" t="s">
        <v>13</v>
      </c>
      <c r="D934">
        <v>5</v>
      </c>
      <c r="E934">
        <v>24545</v>
      </c>
      <c r="F934">
        <v>10599</v>
      </c>
      <c r="G934" t="s">
        <v>10</v>
      </c>
      <c r="H934" t="str">
        <f>TEXT(CleanData[[#This Row],[Date]],"mmm")</f>
        <v>Mar</v>
      </c>
      <c r="I934">
        <f>WEEKNUM(CleanData[[#This Row],[Date]])</f>
        <v>10</v>
      </c>
      <c r="J934">
        <f>IF(CleanData[[#This Row],[Revenue]]&gt;=CleanData[[#This Row],[Target]],1,0)</f>
        <v>1</v>
      </c>
      <c r="K934">
        <f>IF(CleanData[[#This Row],[Attendance_Status]]="Present",1,0)</f>
        <v>1</v>
      </c>
    </row>
    <row r="935" spans="1:11" x14ac:dyDescent="0.3">
      <c r="A935" t="s">
        <v>142</v>
      </c>
      <c r="B935" t="s">
        <v>27</v>
      </c>
      <c r="C935" t="s">
        <v>9</v>
      </c>
      <c r="D935">
        <v>11</v>
      </c>
      <c r="E935">
        <v>7497</v>
      </c>
      <c r="F935">
        <v>12343</v>
      </c>
      <c r="G935" t="s">
        <v>10</v>
      </c>
      <c r="H935" t="str">
        <f>TEXT(CleanData[[#This Row],[Date]],"mmm")</f>
        <v>Jan</v>
      </c>
      <c r="I935">
        <f>WEEKNUM(CleanData[[#This Row],[Date]])</f>
        <v>3</v>
      </c>
      <c r="J935">
        <f>IF(CleanData[[#This Row],[Revenue]]&gt;=CleanData[[#This Row],[Target]],1,0)</f>
        <v>0</v>
      </c>
      <c r="K935">
        <f>IF(CleanData[[#This Row],[Attendance_Status]]="Present",1,0)</f>
        <v>1</v>
      </c>
    </row>
    <row r="936" spans="1:11" x14ac:dyDescent="0.3">
      <c r="A936" t="s">
        <v>49</v>
      </c>
      <c r="B936" t="s">
        <v>79</v>
      </c>
      <c r="C936" t="s">
        <v>13</v>
      </c>
      <c r="D936">
        <v>8</v>
      </c>
      <c r="E936">
        <v>25175</v>
      </c>
      <c r="F936">
        <v>18404</v>
      </c>
      <c r="G936" t="s">
        <v>10</v>
      </c>
      <c r="H936" t="str">
        <f>TEXT(CleanData[[#This Row],[Date]],"mmm")</f>
        <v>Mar</v>
      </c>
      <c r="I936">
        <f>WEEKNUM(CleanData[[#This Row],[Date]])</f>
        <v>10</v>
      </c>
      <c r="J936">
        <f>IF(CleanData[[#This Row],[Revenue]]&gt;=CleanData[[#This Row],[Target]],1,0)</f>
        <v>1</v>
      </c>
      <c r="K936">
        <f>IF(CleanData[[#This Row],[Attendance_Status]]="Present",1,0)</f>
        <v>1</v>
      </c>
    </row>
    <row r="937" spans="1:11" x14ac:dyDescent="0.3">
      <c r="A937" t="s">
        <v>95</v>
      </c>
      <c r="B937" t="s">
        <v>52</v>
      </c>
      <c r="C937" t="s">
        <v>9</v>
      </c>
      <c r="D937">
        <v>21</v>
      </c>
      <c r="E937">
        <v>8319</v>
      </c>
      <c r="F937">
        <v>24000</v>
      </c>
      <c r="G937" t="s">
        <v>10</v>
      </c>
      <c r="H937" t="str">
        <f>TEXT(CleanData[[#This Row],[Date]],"mmm")</f>
        <v>May</v>
      </c>
      <c r="I937">
        <f>WEEKNUM(CleanData[[#This Row],[Date]])</f>
        <v>20</v>
      </c>
      <c r="J937">
        <f>IF(CleanData[[#This Row],[Revenue]]&gt;=CleanData[[#This Row],[Target]],1,0)</f>
        <v>0</v>
      </c>
      <c r="K937">
        <f>IF(CleanData[[#This Row],[Attendance_Status]]="Present",1,0)</f>
        <v>1</v>
      </c>
    </row>
    <row r="938" spans="1:11" x14ac:dyDescent="0.3">
      <c r="A938" t="s">
        <v>189</v>
      </c>
      <c r="B938" t="s">
        <v>27</v>
      </c>
      <c r="C938" t="s">
        <v>22</v>
      </c>
      <c r="D938">
        <v>23</v>
      </c>
      <c r="E938">
        <v>5429</v>
      </c>
      <c r="F938">
        <v>19902</v>
      </c>
      <c r="G938" t="s">
        <v>26</v>
      </c>
      <c r="H938" t="str">
        <f>TEXT(CleanData[[#This Row],[Date]],"mmm")</f>
        <v>Mar</v>
      </c>
      <c r="I938">
        <f>WEEKNUM(CleanData[[#This Row],[Date]])</f>
        <v>11</v>
      </c>
      <c r="J938">
        <f>IF(CleanData[[#This Row],[Revenue]]&gt;=CleanData[[#This Row],[Target]],1,0)</f>
        <v>0</v>
      </c>
      <c r="K938">
        <f>IF(CleanData[[#This Row],[Attendance_Status]]="Present",1,0)</f>
        <v>0</v>
      </c>
    </row>
    <row r="939" spans="1:11" x14ac:dyDescent="0.3">
      <c r="A939" t="s">
        <v>175</v>
      </c>
      <c r="B939" t="s">
        <v>46</v>
      </c>
      <c r="C939" t="s">
        <v>13</v>
      </c>
      <c r="D939">
        <v>23</v>
      </c>
      <c r="E939">
        <v>20847</v>
      </c>
      <c r="F939">
        <v>15996</v>
      </c>
      <c r="G939" t="s">
        <v>10</v>
      </c>
      <c r="H939" t="str">
        <f>TEXT(CleanData[[#This Row],[Date]],"mmm")</f>
        <v>May</v>
      </c>
      <c r="I939">
        <f>WEEKNUM(CleanData[[#This Row],[Date]])</f>
        <v>22</v>
      </c>
      <c r="J939">
        <f>IF(CleanData[[#This Row],[Revenue]]&gt;=CleanData[[#This Row],[Target]],1,0)</f>
        <v>1</v>
      </c>
      <c r="K939">
        <f>IF(CleanData[[#This Row],[Attendance_Status]]="Present",1,0)</f>
        <v>1</v>
      </c>
    </row>
    <row r="940" spans="1:11" x14ac:dyDescent="0.3">
      <c r="A940" t="s">
        <v>63</v>
      </c>
      <c r="B940" t="s">
        <v>19</v>
      </c>
      <c r="C940" t="s">
        <v>22</v>
      </c>
      <c r="D940">
        <v>8</v>
      </c>
      <c r="E940">
        <v>9802</v>
      </c>
      <c r="F940">
        <v>10719</v>
      </c>
      <c r="G940" t="s">
        <v>10</v>
      </c>
      <c r="H940" t="str">
        <f>TEXT(CleanData[[#This Row],[Date]],"mmm")</f>
        <v>Jun</v>
      </c>
      <c r="I940">
        <f>WEEKNUM(CleanData[[#This Row],[Date]])</f>
        <v>24</v>
      </c>
      <c r="J940">
        <f>IF(CleanData[[#This Row],[Revenue]]&gt;=CleanData[[#This Row],[Target]],1,0)</f>
        <v>0</v>
      </c>
      <c r="K940">
        <f>IF(CleanData[[#This Row],[Attendance_Status]]="Present",1,0)</f>
        <v>1</v>
      </c>
    </row>
    <row r="941" spans="1:11" x14ac:dyDescent="0.3">
      <c r="A941" t="s">
        <v>201</v>
      </c>
      <c r="B941" t="s">
        <v>73</v>
      </c>
      <c r="C941" t="s">
        <v>22</v>
      </c>
      <c r="D941">
        <v>10</v>
      </c>
      <c r="E941">
        <v>19549</v>
      </c>
      <c r="F941">
        <v>16776</v>
      </c>
      <c r="G941" t="s">
        <v>26</v>
      </c>
      <c r="H941" t="str">
        <f>TEXT(CleanData[[#This Row],[Date]],"mmm")</f>
        <v>Jan</v>
      </c>
      <c r="I941">
        <f>WEEKNUM(CleanData[[#This Row],[Date]])</f>
        <v>1</v>
      </c>
      <c r="J941">
        <f>IF(CleanData[[#This Row],[Revenue]]&gt;=CleanData[[#This Row],[Target]],1,0)</f>
        <v>1</v>
      </c>
      <c r="K941">
        <f>IF(CleanData[[#This Row],[Attendance_Status]]="Present",1,0)</f>
        <v>0</v>
      </c>
    </row>
    <row r="942" spans="1:11" x14ac:dyDescent="0.3">
      <c r="A942" t="s">
        <v>164</v>
      </c>
      <c r="B942" t="s">
        <v>12</v>
      </c>
      <c r="C942" t="s">
        <v>13</v>
      </c>
      <c r="D942">
        <v>22</v>
      </c>
      <c r="E942">
        <v>25769</v>
      </c>
      <c r="F942">
        <v>10842</v>
      </c>
      <c r="G942" t="s">
        <v>10</v>
      </c>
      <c r="H942" t="str">
        <f>TEXT(CleanData[[#This Row],[Date]],"mmm")</f>
        <v>Jun</v>
      </c>
      <c r="I942">
        <f>WEEKNUM(CleanData[[#This Row],[Date]])</f>
        <v>24</v>
      </c>
      <c r="J942">
        <f>IF(CleanData[[#This Row],[Revenue]]&gt;=CleanData[[#This Row],[Target]],1,0)</f>
        <v>1</v>
      </c>
      <c r="K942">
        <f>IF(CleanData[[#This Row],[Attendance_Status]]="Present",1,0)</f>
        <v>1</v>
      </c>
    </row>
    <row r="943" spans="1:11" x14ac:dyDescent="0.3">
      <c r="A943" t="s">
        <v>71</v>
      </c>
      <c r="B943" t="s">
        <v>73</v>
      </c>
      <c r="C943" t="s">
        <v>13</v>
      </c>
      <c r="D943">
        <v>14</v>
      </c>
      <c r="E943">
        <v>7102</v>
      </c>
      <c r="F943">
        <v>16568</v>
      </c>
      <c r="G943" t="s">
        <v>10</v>
      </c>
      <c r="H943" t="str">
        <f>TEXT(CleanData[[#This Row],[Date]],"mmm")</f>
        <v>Apr</v>
      </c>
      <c r="I943">
        <f>WEEKNUM(CleanData[[#This Row],[Date]])</f>
        <v>14</v>
      </c>
      <c r="J943">
        <f>IF(CleanData[[#This Row],[Revenue]]&gt;=CleanData[[#This Row],[Target]],1,0)</f>
        <v>0</v>
      </c>
      <c r="K943">
        <f>IF(CleanData[[#This Row],[Attendance_Status]]="Present",1,0)</f>
        <v>1</v>
      </c>
    </row>
    <row r="944" spans="1:11" x14ac:dyDescent="0.3">
      <c r="A944" t="s">
        <v>142</v>
      </c>
      <c r="B944" t="s">
        <v>120</v>
      </c>
      <c r="C944" t="s">
        <v>13</v>
      </c>
      <c r="D944">
        <v>16</v>
      </c>
      <c r="E944">
        <v>27339</v>
      </c>
      <c r="F944">
        <v>12813</v>
      </c>
      <c r="G944" t="s">
        <v>10</v>
      </c>
      <c r="H944" t="str">
        <f>TEXT(CleanData[[#This Row],[Date]],"mmm")</f>
        <v>Jan</v>
      </c>
      <c r="I944">
        <f>WEEKNUM(CleanData[[#This Row],[Date]])</f>
        <v>3</v>
      </c>
      <c r="J944">
        <f>IF(CleanData[[#This Row],[Revenue]]&gt;=CleanData[[#This Row],[Target]],1,0)</f>
        <v>1</v>
      </c>
      <c r="K944">
        <f>IF(CleanData[[#This Row],[Attendance_Status]]="Present",1,0)</f>
        <v>1</v>
      </c>
    </row>
    <row r="945" spans="1:11" x14ac:dyDescent="0.3">
      <c r="A945" t="s">
        <v>148</v>
      </c>
      <c r="B945" t="s">
        <v>92</v>
      </c>
      <c r="C945" t="s">
        <v>22</v>
      </c>
      <c r="D945">
        <v>12</v>
      </c>
      <c r="E945">
        <v>16913</v>
      </c>
      <c r="F945">
        <v>10487</v>
      </c>
      <c r="G945" t="s">
        <v>26</v>
      </c>
      <c r="H945" t="str">
        <f>TEXT(CleanData[[#This Row],[Date]],"mmm")</f>
        <v>Jun</v>
      </c>
      <c r="I945">
        <f>WEEKNUM(CleanData[[#This Row],[Date]])</f>
        <v>23</v>
      </c>
      <c r="J945">
        <f>IF(CleanData[[#This Row],[Revenue]]&gt;=CleanData[[#This Row],[Target]],1,0)</f>
        <v>1</v>
      </c>
      <c r="K945">
        <f>IF(CleanData[[#This Row],[Attendance_Status]]="Present",1,0)</f>
        <v>0</v>
      </c>
    </row>
    <row r="946" spans="1:11" x14ac:dyDescent="0.3">
      <c r="A946" t="s">
        <v>97</v>
      </c>
      <c r="B946" t="s">
        <v>50</v>
      </c>
      <c r="C946" t="s">
        <v>9</v>
      </c>
      <c r="D946">
        <v>6</v>
      </c>
      <c r="E946">
        <v>18140</v>
      </c>
      <c r="F946">
        <v>12726</v>
      </c>
      <c r="G946" t="s">
        <v>10</v>
      </c>
      <c r="H946" t="str">
        <f>TEXT(CleanData[[#This Row],[Date]],"mmm")</f>
        <v>Mar</v>
      </c>
      <c r="I946">
        <f>WEEKNUM(CleanData[[#This Row],[Date]])</f>
        <v>11</v>
      </c>
      <c r="J946">
        <f>IF(CleanData[[#This Row],[Revenue]]&gt;=CleanData[[#This Row],[Target]],1,0)</f>
        <v>1</v>
      </c>
      <c r="K946">
        <f>IF(CleanData[[#This Row],[Attendance_Status]]="Present",1,0)</f>
        <v>1</v>
      </c>
    </row>
    <row r="947" spans="1:11" x14ac:dyDescent="0.3">
      <c r="A947" t="s">
        <v>11</v>
      </c>
      <c r="B947" t="s">
        <v>31</v>
      </c>
      <c r="C947" t="s">
        <v>22</v>
      </c>
      <c r="D947">
        <v>24</v>
      </c>
      <c r="E947">
        <v>13567</v>
      </c>
      <c r="F947">
        <v>11575</v>
      </c>
      <c r="G947" t="s">
        <v>10</v>
      </c>
      <c r="H947" t="str">
        <f>TEXT(CleanData[[#This Row],[Date]],"mmm")</f>
        <v>Jun</v>
      </c>
      <c r="I947">
        <f>WEEKNUM(CleanData[[#This Row],[Date]])</f>
        <v>23</v>
      </c>
      <c r="J947">
        <f>IF(CleanData[[#This Row],[Revenue]]&gt;=CleanData[[#This Row],[Target]],1,0)</f>
        <v>1</v>
      </c>
      <c r="K947">
        <f>IF(CleanData[[#This Row],[Attendance_Status]]="Present",1,0)</f>
        <v>1</v>
      </c>
    </row>
    <row r="948" spans="1:11" x14ac:dyDescent="0.3">
      <c r="A948" t="s">
        <v>116</v>
      </c>
      <c r="B948" t="s">
        <v>69</v>
      </c>
      <c r="C948" t="s">
        <v>22</v>
      </c>
      <c r="D948">
        <v>22</v>
      </c>
      <c r="E948">
        <v>23201</v>
      </c>
      <c r="F948">
        <v>13729</v>
      </c>
      <c r="G948" t="s">
        <v>10</v>
      </c>
      <c r="H948" t="str">
        <f>TEXT(CleanData[[#This Row],[Date]],"mmm")</f>
        <v>Jun</v>
      </c>
      <c r="I948">
        <f>WEEKNUM(CleanData[[#This Row],[Date]])</f>
        <v>22</v>
      </c>
      <c r="J948">
        <f>IF(CleanData[[#This Row],[Revenue]]&gt;=CleanData[[#This Row],[Target]],1,0)</f>
        <v>1</v>
      </c>
      <c r="K948">
        <f>IF(CleanData[[#This Row],[Attendance_Status]]="Present",1,0)</f>
        <v>1</v>
      </c>
    </row>
    <row r="949" spans="1:11" x14ac:dyDescent="0.3">
      <c r="A949" t="s">
        <v>180</v>
      </c>
      <c r="B949" t="s">
        <v>79</v>
      </c>
      <c r="C949" t="s">
        <v>22</v>
      </c>
      <c r="D949">
        <v>6</v>
      </c>
      <c r="E949">
        <v>14399</v>
      </c>
      <c r="F949">
        <v>23026</v>
      </c>
      <c r="G949" t="s">
        <v>10</v>
      </c>
      <c r="H949" t="str">
        <f>TEXT(CleanData[[#This Row],[Date]],"mmm")</f>
        <v>Jan</v>
      </c>
      <c r="I949">
        <f>WEEKNUM(CleanData[[#This Row],[Date]])</f>
        <v>2</v>
      </c>
      <c r="J949">
        <f>IF(CleanData[[#This Row],[Revenue]]&gt;=CleanData[[#This Row],[Target]],1,0)</f>
        <v>0</v>
      </c>
      <c r="K949">
        <f>IF(CleanData[[#This Row],[Attendance_Status]]="Present",1,0)</f>
        <v>1</v>
      </c>
    </row>
    <row r="950" spans="1:11" x14ac:dyDescent="0.3">
      <c r="A950" t="s">
        <v>220</v>
      </c>
      <c r="B950" t="s">
        <v>27</v>
      </c>
      <c r="C950" t="s">
        <v>9</v>
      </c>
      <c r="D950">
        <v>20</v>
      </c>
      <c r="E950">
        <v>15614</v>
      </c>
      <c r="F950">
        <v>15015</v>
      </c>
      <c r="G950" t="s">
        <v>10</v>
      </c>
      <c r="H950" t="str">
        <f>TEXT(CleanData[[#This Row],[Date]],"mmm")</f>
        <v>Apr</v>
      </c>
      <c r="I950">
        <f>WEEKNUM(CleanData[[#This Row],[Date]])</f>
        <v>18</v>
      </c>
      <c r="J950">
        <f>IF(CleanData[[#This Row],[Revenue]]&gt;=CleanData[[#This Row],[Target]],1,0)</f>
        <v>1</v>
      </c>
      <c r="K950">
        <f>IF(CleanData[[#This Row],[Attendance_Status]]="Present",1,0)</f>
        <v>1</v>
      </c>
    </row>
    <row r="951" spans="1:11" x14ac:dyDescent="0.3">
      <c r="A951" t="s">
        <v>96</v>
      </c>
      <c r="B951" t="s">
        <v>19</v>
      </c>
      <c r="C951" t="s">
        <v>22</v>
      </c>
      <c r="D951">
        <v>24</v>
      </c>
      <c r="E951">
        <v>10709</v>
      </c>
      <c r="F951">
        <v>12067</v>
      </c>
      <c r="G951" t="s">
        <v>10</v>
      </c>
      <c r="H951" t="str">
        <f>TEXT(CleanData[[#This Row],[Date]],"mmm")</f>
        <v>Jun</v>
      </c>
      <c r="I951">
        <f>WEEKNUM(CleanData[[#This Row],[Date]])</f>
        <v>26</v>
      </c>
      <c r="J951">
        <f>IF(CleanData[[#This Row],[Revenue]]&gt;=CleanData[[#This Row],[Target]],1,0)</f>
        <v>0</v>
      </c>
      <c r="K951">
        <f>IF(CleanData[[#This Row],[Attendance_Status]]="Present",1,0)</f>
        <v>1</v>
      </c>
    </row>
    <row r="952" spans="1:11" x14ac:dyDescent="0.3">
      <c r="A952" t="s">
        <v>116</v>
      </c>
      <c r="B952" t="s">
        <v>8</v>
      </c>
      <c r="C952" t="s">
        <v>22</v>
      </c>
      <c r="D952">
        <v>13</v>
      </c>
      <c r="E952">
        <v>11697</v>
      </c>
      <c r="F952">
        <v>12462</v>
      </c>
      <c r="G952" t="s">
        <v>10</v>
      </c>
      <c r="H952" t="str">
        <f>TEXT(CleanData[[#This Row],[Date]],"mmm")</f>
        <v>Jun</v>
      </c>
      <c r="I952">
        <f>WEEKNUM(CleanData[[#This Row],[Date]])</f>
        <v>22</v>
      </c>
      <c r="J952">
        <f>IF(CleanData[[#This Row],[Revenue]]&gt;=CleanData[[#This Row],[Target]],1,0)</f>
        <v>0</v>
      </c>
      <c r="K952">
        <f>IF(CleanData[[#This Row],[Attendance_Status]]="Present",1,0)</f>
        <v>1</v>
      </c>
    </row>
    <row r="953" spans="1:11" x14ac:dyDescent="0.3">
      <c r="A953" t="s">
        <v>14</v>
      </c>
      <c r="B953" t="s">
        <v>120</v>
      </c>
      <c r="C953" t="s">
        <v>13</v>
      </c>
      <c r="D953">
        <v>12</v>
      </c>
      <c r="E953">
        <v>18778</v>
      </c>
      <c r="F953">
        <v>21226</v>
      </c>
      <c r="G953" t="s">
        <v>10</v>
      </c>
      <c r="H953" t="str">
        <f>TEXT(CleanData[[#This Row],[Date]],"mmm")</f>
        <v>Jun</v>
      </c>
      <c r="I953">
        <f>WEEKNUM(CleanData[[#This Row],[Date]])</f>
        <v>24</v>
      </c>
      <c r="J953">
        <f>IF(CleanData[[#This Row],[Revenue]]&gt;=CleanData[[#This Row],[Target]],1,0)</f>
        <v>0</v>
      </c>
      <c r="K953">
        <f>IF(CleanData[[#This Row],[Attendance_Status]]="Present",1,0)</f>
        <v>1</v>
      </c>
    </row>
    <row r="954" spans="1:11" x14ac:dyDescent="0.3">
      <c r="A954" t="s">
        <v>157</v>
      </c>
      <c r="B954" t="s">
        <v>12</v>
      </c>
      <c r="C954" t="s">
        <v>22</v>
      </c>
      <c r="D954">
        <v>24</v>
      </c>
      <c r="E954">
        <v>20388</v>
      </c>
      <c r="F954">
        <v>22341</v>
      </c>
      <c r="G954" t="s">
        <v>10</v>
      </c>
      <c r="H954" t="str">
        <f>TEXT(CleanData[[#This Row],[Date]],"mmm")</f>
        <v>Jan</v>
      </c>
      <c r="I954">
        <f>WEEKNUM(CleanData[[#This Row],[Date]])</f>
        <v>3</v>
      </c>
      <c r="J954">
        <f>IF(CleanData[[#This Row],[Revenue]]&gt;=CleanData[[#This Row],[Target]],1,0)</f>
        <v>0</v>
      </c>
      <c r="K954">
        <f>IF(CleanData[[#This Row],[Attendance_Status]]="Present",1,0)</f>
        <v>1</v>
      </c>
    </row>
    <row r="955" spans="1:11" x14ac:dyDescent="0.3">
      <c r="A955" t="s">
        <v>53</v>
      </c>
      <c r="B955" t="s">
        <v>120</v>
      </c>
      <c r="C955" t="s">
        <v>13</v>
      </c>
      <c r="D955">
        <v>7</v>
      </c>
      <c r="E955">
        <v>18353</v>
      </c>
      <c r="F955">
        <v>24515</v>
      </c>
      <c r="G955" t="s">
        <v>10</v>
      </c>
      <c r="H955" t="str">
        <f>TEXT(CleanData[[#This Row],[Date]],"mmm")</f>
        <v>Jan</v>
      </c>
      <c r="I955">
        <f>WEEKNUM(CleanData[[#This Row],[Date]])</f>
        <v>1</v>
      </c>
      <c r="J955">
        <f>IF(CleanData[[#This Row],[Revenue]]&gt;=CleanData[[#This Row],[Target]],1,0)</f>
        <v>0</v>
      </c>
      <c r="K955">
        <f>IF(CleanData[[#This Row],[Attendance_Status]]="Present",1,0)</f>
        <v>1</v>
      </c>
    </row>
    <row r="956" spans="1:11" x14ac:dyDescent="0.3">
      <c r="A956" t="s">
        <v>191</v>
      </c>
      <c r="B956" t="s">
        <v>29</v>
      </c>
      <c r="C956" t="s">
        <v>22</v>
      </c>
      <c r="D956">
        <v>23</v>
      </c>
      <c r="E956">
        <v>18926</v>
      </c>
      <c r="F956">
        <v>22583</v>
      </c>
      <c r="G956" t="s">
        <v>10</v>
      </c>
      <c r="H956" t="str">
        <f>TEXT(CleanData[[#This Row],[Date]],"mmm")</f>
        <v>Mar</v>
      </c>
      <c r="I956">
        <f>WEEKNUM(CleanData[[#This Row],[Date]])</f>
        <v>9</v>
      </c>
      <c r="J956">
        <f>IF(CleanData[[#This Row],[Revenue]]&gt;=CleanData[[#This Row],[Target]],1,0)</f>
        <v>0</v>
      </c>
      <c r="K956">
        <f>IF(CleanData[[#This Row],[Attendance_Status]]="Present",1,0)</f>
        <v>1</v>
      </c>
    </row>
    <row r="957" spans="1:11" x14ac:dyDescent="0.3">
      <c r="A957" t="s">
        <v>11</v>
      </c>
      <c r="B957" t="s">
        <v>33</v>
      </c>
      <c r="C957" t="s">
        <v>9</v>
      </c>
      <c r="D957">
        <v>19</v>
      </c>
      <c r="E957">
        <v>6709</v>
      </c>
      <c r="F957">
        <v>20226</v>
      </c>
      <c r="G957" t="s">
        <v>10</v>
      </c>
      <c r="H957" t="str">
        <f>TEXT(CleanData[[#This Row],[Date]],"mmm")</f>
        <v>Jun</v>
      </c>
      <c r="I957">
        <f>WEEKNUM(CleanData[[#This Row],[Date]])</f>
        <v>23</v>
      </c>
      <c r="J957">
        <f>IF(CleanData[[#This Row],[Revenue]]&gt;=CleanData[[#This Row],[Target]],1,0)</f>
        <v>0</v>
      </c>
      <c r="K957">
        <f>IF(CleanData[[#This Row],[Attendance_Status]]="Present",1,0)</f>
        <v>1</v>
      </c>
    </row>
    <row r="958" spans="1:11" x14ac:dyDescent="0.3">
      <c r="A958" t="s">
        <v>53</v>
      </c>
      <c r="B958" t="s">
        <v>52</v>
      </c>
      <c r="C958" t="s">
        <v>22</v>
      </c>
      <c r="D958">
        <v>9</v>
      </c>
      <c r="E958">
        <v>15875</v>
      </c>
      <c r="F958">
        <v>16814</v>
      </c>
      <c r="G958" t="s">
        <v>26</v>
      </c>
      <c r="H958" t="str">
        <f>TEXT(CleanData[[#This Row],[Date]],"mmm")</f>
        <v>Jan</v>
      </c>
      <c r="I958">
        <f>WEEKNUM(CleanData[[#This Row],[Date]])</f>
        <v>1</v>
      </c>
      <c r="J958">
        <f>IF(CleanData[[#This Row],[Revenue]]&gt;=CleanData[[#This Row],[Target]],1,0)</f>
        <v>0</v>
      </c>
      <c r="K958">
        <f>IF(CleanData[[#This Row],[Attendance_Status]]="Present",1,0)</f>
        <v>0</v>
      </c>
    </row>
    <row r="959" spans="1:11" x14ac:dyDescent="0.3">
      <c r="A959" t="s">
        <v>65</v>
      </c>
      <c r="B959" t="s">
        <v>120</v>
      </c>
      <c r="C959" t="s">
        <v>22</v>
      </c>
      <c r="D959">
        <v>15</v>
      </c>
      <c r="E959">
        <v>26304</v>
      </c>
      <c r="F959">
        <v>10257</v>
      </c>
      <c r="G959" t="s">
        <v>10</v>
      </c>
      <c r="H959" t="str">
        <f>TEXT(CleanData[[#This Row],[Date]],"mmm")</f>
        <v>Apr</v>
      </c>
      <c r="I959">
        <f>WEEKNUM(CleanData[[#This Row],[Date]])</f>
        <v>14</v>
      </c>
      <c r="J959">
        <f>IF(CleanData[[#This Row],[Revenue]]&gt;=CleanData[[#This Row],[Target]],1,0)</f>
        <v>1</v>
      </c>
      <c r="K959">
        <f>IF(CleanData[[#This Row],[Attendance_Status]]="Present",1,0)</f>
        <v>1</v>
      </c>
    </row>
    <row r="960" spans="1:11" x14ac:dyDescent="0.3">
      <c r="A960" t="s">
        <v>38</v>
      </c>
      <c r="B960" t="s">
        <v>40</v>
      </c>
      <c r="C960" t="s">
        <v>9</v>
      </c>
      <c r="D960">
        <v>18</v>
      </c>
      <c r="E960">
        <v>29283</v>
      </c>
      <c r="F960">
        <v>24994</v>
      </c>
      <c r="G960" t="s">
        <v>10</v>
      </c>
      <c r="H960" t="str">
        <f>TEXT(CleanData[[#This Row],[Date]],"mmm")</f>
        <v>Jan</v>
      </c>
      <c r="I960">
        <f>WEEKNUM(CleanData[[#This Row],[Date]])</f>
        <v>3</v>
      </c>
      <c r="J960">
        <f>IF(CleanData[[#This Row],[Revenue]]&gt;=CleanData[[#This Row],[Target]],1,0)</f>
        <v>1</v>
      </c>
      <c r="K960">
        <f>IF(CleanData[[#This Row],[Attendance_Status]]="Present",1,0)</f>
        <v>1</v>
      </c>
    </row>
    <row r="961" spans="1:11" x14ac:dyDescent="0.3">
      <c r="A961" t="s">
        <v>130</v>
      </c>
      <c r="B961" t="s">
        <v>64</v>
      </c>
      <c r="C961" t="s">
        <v>22</v>
      </c>
      <c r="D961">
        <v>10</v>
      </c>
      <c r="E961">
        <v>15136</v>
      </c>
      <c r="F961">
        <v>15249</v>
      </c>
      <c r="G961" t="s">
        <v>10</v>
      </c>
      <c r="H961" t="str">
        <f>TEXT(CleanData[[#This Row],[Date]],"mmm")</f>
        <v>May</v>
      </c>
      <c r="I961">
        <f>WEEKNUM(CleanData[[#This Row],[Date]])</f>
        <v>20</v>
      </c>
      <c r="J961">
        <f>IF(CleanData[[#This Row],[Revenue]]&gt;=CleanData[[#This Row],[Target]],1,0)</f>
        <v>0</v>
      </c>
      <c r="K961">
        <f>IF(CleanData[[#This Row],[Attendance_Status]]="Present",1,0)</f>
        <v>1</v>
      </c>
    </row>
    <row r="962" spans="1:11" x14ac:dyDescent="0.3">
      <c r="A962" t="s">
        <v>210</v>
      </c>
      <c r="B962" t="s">
        <v>79</v>
      </c>
      <c r="C962" t="s">
        <v>13</v>
      </c>
      <c r="D962">
        <v>18</v>
      </c>
      <c r="E962">
        <v>16132</v>
      </c>
      <c r="F962">
        <v>20151</v>
      </c>
      <c r="G962" t="s">
        <v>10</v>
      </c>
      <c r="H962" t="str">
        <f>TEXT(CleanData[[#This Row],[Date]],"mmm")</f>
        <v>Apr</v>
      </c>
      <c r="I962">
        <f>WEEKNUM(CleanData[[#This Row],[Date]])</f>
        <v>17</v>
      </c>
      <c r="J962">
        <f>IF(CleanData[[#This Row],[Revenue]]&gt;=CleanData[[#This Row],[Target]],1,0)</f>
        <v>0</v>
      </c>
      <c r="K962">
        <f>IF(CleanData[[#This Row],[Attendance_Status]]="Present",1,0)</f>
        <v>1</v>
      </c>
    </row>
    <row r="963" spans="1:11" x14ac:dyDescent="0.3">
      <c r="A963" t="s">
        <v>188</v>
      </c>
      <c r="B963" t="s">
        <v>12</v>
      </c>
      <c r="C963" t="s">
        <v>13</v>
      </c>
      <c r="D963">
        <v>16</v>
      </c>
      <c r="E963">
        <v>19547</v>
      </c>
      <c r="F963">
        <v>21465</v>
      </c>
      <c r="G963" t="s">
        <v>10</v>
      </c>
      <c r="H963" t="str">
        <f>TEXT(CleanData[[#This Row],[Date]],"mmm")</f>
        <v>May</v>
      </c>
      <c r="I963">
        <f>WEEKNUM(CleanData[[#This Row],[Date]])</f>
        <v>19</v>
      </c>
      <c r="J963">
        <f>IF(CleanData[[#This Row],[Revenue]]&gt;=CleanData[[#This Row],[Target]],1,0)</f>
        <v>0</v>
      </c>
      <c r="K963">
        <f>IF(CleanData[[#This Row],[Attendance_Status]]="Present",1,0)</f>
        <v>1</v>
      </c>
    </row>
    <row r="964" spans="1:11" x14ac:dyDescent="0.3">
      <c r="A964" t="s">
        <v>109</v>
      </c>
      <c r="B964" t="s">
        <v>15</v>
      </c>
      <c r="C964" t="s">
        <v>13</v>
      </c>
      <c r="D964">
        <v>6</v>
      </c>
      <c r="E964">
        <v>7164</v>
      </c>
      <c r="F964">
        <v>13085</v>
      </c>
      <c r="G964" t="s">
        <v>10</v>
      </c>
      <c r="H964" t="str">
        <f>TEXT(CleanData[[#This Row],[Date]],"mmm")</f>
        <v>Mar</v>
      </c>
      <c r="I964">
        <f>WEEKNUM(CleanData[[#This Row],[Date]])</f>
        <v>10</v>
      </c>
      <c r="J964">
        <f>IF(CleanData[[#This Row],[Revenue]]&gt;=CleanData[[#This Row],[Target]],1,0)</f>
        <v>0</v>
      </c>
      <c r="K964">
        <f>IF(CleanData[[#This Row],[Attendance_Status]]="Present",1,0)</f>
        <v>1</v>
      </c>
    </row>
    <row r="965" spans="1:11" x14ac:dyDescent="0.3">
      <c r="A965" t="s">
        <v>58</v>
      </c>
      <c r="B965" t="s">
        <v>67</v>
      </c>
      <c r="C965" t="s">
        <v>22</v>
      </c>
      <c r="D965">
        <v>25</v>
      </c>
      <c r="E965">
        <v>28440</v>
      </c>
      <c r="F965">
        <v>23342</v>
      </c>
      <c r="G965" t="s">
        <v>26</v>
      </c>
      <c r="H965" t="str">
        <f>TEXT(CleanData[[#This Row],[Date]],"mmm")</f>
        <v>May</v>
      </c>
      <c r="I965">
        <f>WEEKNUM(CleanData[[#This Row],[Date]])</f>
        <v>21</v>
      </c>
      <c r="J965">
        <f>IF(CleanData[[#This Row],[Revenue]]&gt;=CleanData[[#This Row],[Target]],1,0)</f>
        <v>1</v>
      </c>
      <c r="K965">
        <f>IF(CleanData[[#This Row],[Attendance_Status]]="Present",1,0)</f>
        <v>0</v>
      </c>
    </row>
    <row r="966" spans="1:11" x14ac:dyDescent="0.3">
      <c r="A966" t="s">
        <v>180</v>
      </c>
      <c r="B966" t="s">
        <v>42</v>
      </c>
      <c r="C966" t="s">
        <v>13</v>
      </c>
      <c r="D966">
        <v>12</v>
      </c>
      <c r="E966">
        <v>16171</v>
      </c>
      <c r="F966">
        <v>21694</v>
      </c>
      <c r="G966" t="s">
        <v>10</v>
      </c>
      <c r="H966" t="str">
        <f>TEXT(CleanData[[#This Row],[Date]],"mmm")</f>
        <v>Jan</v>
      </c>
      <c r="I966">
        <f>WEEKNUM(CleanData[[#This Row],[Date]])</f>
        <v>2</v>
      </c>
      <c r="J966">
        <f>IF(CleanData[[#This Row],[Revenue]]&gt;=CleanData[[#This Row],[Target]],1,0)</f>
        <v>0</v>
      </c>
      <c r="K966">
        <f>IF(CleanData[[#This Row],[Attendance_Status]]="Present",1,0)</f>
        <v>1</v>
      </c>
    </row>
    <row r="967" spans="1:11" x14ac:dyDescent="0.3">
      <c r="A967" t="s">
        <v>163</v>
      </c>
      <c r="B967" t="s">
        <v>64</v>
      </c>
      <c r="C967" t="s">
        <v>9</v>
      </c>
      <c r="D967">
        <v>5</v>
      </c>
      <c r="E967">
        <v>7822</v>
      </c>
      <c r="F967">
        <v>13911</v>
      </c>
      <c r="G967" t="s">
        <v>10</v>
      </c>
      <c r="H967" t="str">
        <f>TEXT(CleanData[[#This Row],[Date]],"mmm")</f>
        <v>Jan</v>
      </c>
      <c r="I967">
        <f>WEEKNUM(CleanData[[#This Row],[Date]])</f>
        <v>2</v>
      </c>
      <c r="J967">
        <f>IF(CleanData[[#This Row],[Revenue]]&gt;=CleanData[[#This Row],[Target]],1,0)</f>
        <v>0</v>
      </c>
      <c r="K967">
        <f>IF(CleanData[[#This Row],[Attendance_Status]]="Present",1,0)</f>
        <v>1</v>
      </c>
    </row>
    <row r="968" spans="1:11" x14ac:dyDescent="0.3">
      <c r="A968" t="s">
        <v>62</v>
      </c>
      <c r="B968" t="s">
        <v>21</v>
      </c>
      <c r="C968" t="s">
        <v>22</v>
      </c>
      <c r="D968">
        <v>15</v>
      </c>
      <c r="E968">
        <v>27225</v>
      </c>
      <c r="F968">
        <v>23045</v>
      </c>
      <c r="G968" t="s">
        <v>10</v>
      </c>
      <c r="H968" t="str">
        <f>TEXT(CleanData[[#This Row],[Date]],"mmm")</f>
        <v>Jan</v>
      </c>
      <c r="I968">
        <f>WEEKNUM(CleanData[[#This Row],[Date]])</f>
        <v>4</v>
      </c>
      <c r="J968">
        <f>IF(CleanData[[#This Row],[Revenue]]&gt;=CleanData[[#This Row],[Target]],1,0)</f>
        <v>1</v>
      </c>
      <c r="K968">
        <f>IF(CleanData[[#This Row],[Attendance_Status]]="Present",1,0)</f>
        <v>1</v>
      </c>
    </row>
    <row r="969" spans="1:11" x14ac:dyDescent="0.3">
      <c r="A969" t="s">
        <v>71</v>
      </c>
      <c r="B969" t="s">
        <v>17</v>
      </c>
      <c r="C969" t="s">
        <v>9</v>
      </c>
      <c r="D969">
        <v>25</v>
      </c>
      <c r="E969">
        <v>5555</v>
      </c>
      <c r="F969">
        <v>15999</v>
      </c>
      <c r="G969" t="s">
        <v>10</v>
      </c>
      <c r="H969" t="str">
        <f>TEXT(CleanData[[#This Row],[Date]],"mmm")</f>
        <v>Apr</v>
      </c>
      <c r="I969">
        <f>WEEKNUM(CleanData[[#This Row],[Date]])</f>
        <v>14</v>
      </c>
      <c r="J969">
        <f>IF(CleanData[[#This Row],[Revenue]]&gt;=CleanData[[#This Row],[Target]],1,0)</f>
        <v>0</v>
      </c>
      <c r="K969">
        <f>IF(CleanData[[#This Row],[Attendance_Status]]="Present",1,0)</f>
        <v>1</v>
      </c>
    </row>
    <row r="970" spans="1:11" x14ac:dyDescent="0.3">
      <c r="A970" t="s">
        <v>195</v>
      </c>
      <c r="B970" t="s">
        <v>17</v>
      </c>
      <c r="C970" t="s">
        <v>22</v>
      </c>
      <c r="D970">
        <v>14</v>
      </c>
      <c r="E970">
        <v>9056</v>
      </c>
      <c r="F970">
        <v>21502</v>
      </c>
      <c r="G970" t="s">
        <v>10</v>
      </c>
      <c r="H970" t="str">
        <f>TEXT(CleanData[[#This Row],[Date]],"mmm")</f>
        <v>Feb</v>
      </c>
      <c r="I970">
        <f>WEEKNUM(CleanData[[#This Row],[Date]])</f>
        <v>8</v>
      </c>
      <c r="J970">
        <f>IF(CleanData[[#This Row],[Revenue]]&gt;=CleanData[[#This Row],[Target]],1,0)</f>
        <v>0</v>
      </c>
      <c r="K970">
        <f>IF(CleanData[[#This Row],[Attendance_Status]]="Present",1,0)</f>
        <v>1</v>
      </c>
    </row>
    <row r="971" spans="1:11" x14ac:dyDescent="0.3">
      <c r="A971" t="s">
        <v>159</v>
      </c>
      <c r="B971" t="s">
        <v>69</v>
      </c>
      <c r="C971" t="s">
        <v>9</v>
      </c>
      <c r="D971">
        <v>20</v>
      </c>
      <c r="E971">
        <v>18799</v>
      </c>
      <c r="F971">
        <v>18857</v>
      </c>
      <c r="G971" t="s">
        <v>10</v>
      </c>
      <c r="H971" t="str">
        <f>TEXT(CleanData[[#This Row],[Date]],"mmm")</f>
        <v>May</v>
      </c>
      <c r="I971">
        <f>WEEKNUM(CleanData[[#This Row],[Date]])</f>
        <v>18</v>
      </c>
      <c r="J971">
        <f>IF(CleanData[[#This Row],[Revenue]]&gt;=CleanData[[#This Row],[Target]],1,0)</f>
        <v>0</v>
      </c>
      <c r="K971">
        <f>IF(CleanData[[#This Row],[Attendance_Status]]="Present",1,0)</f>
        <v>1</v>
      </c>
    </row>
    <row r="972" spans="1:11" x14ac:dyDescent="0.3">
      <c r="A972" t="s">
        <v>202</v>
      </c>
      <c r="B972" t="s">
        <v>8</v>
      </c>
      <c r="C972" t="s">
        <v>9</v>
      </c>
      <c r="D972">
        <v>21</v>
      </c>
      <c r="E972">
        <v>14998</v>
      </c>
      <c r="F972">
        <v>19748</v>
      </c>
      <c r="G972" t="s">
        <v>10</v>
      </c>
      <c r="H972" t="str">
        <f>TEXT(CleanData[[#This Row],[Date]],"mmm")</f>
        <v>Jun</v>
      </c>
      <c r="I972">
        <f>WEEKNUM(CleanData[[#This Row],[Date]])</f>
        <v>26</v>
      </c>
      <c r="J972">
        <f>IF(CleanData[[#This Row],[Revenue]]&gt;=CleanData[[#This Row],[Target]],1,0)</f>
        <v>0</v>
      </c>
      <c r="K972">
        <f>IF(CleanData[[#This Row],[Attendance_Status]]="Present",1,0)</f>
        <v>1</v>
      </c>
    </row>
    <row r="973" spans="1:11" x14ac:dyDescent="0.3">
      <c r="A973" t="s">
        <v>183</v>
      </c>
      <c r="B973" t="s">
        <v>29</v>
      </c>
      <c r="C973" t="s">
        <v>22</v>
      </c>
      <c r="D973">
        <v>18</v>
      </c>
      <c r="E973">
        <v>10389</v>
      </c>
      <c r="F973">
        <v>24734</v>
      </c>
      <c r="G973" t="s">
        <v>10</v>
      </c>
      <c r="H973" t="str">
        <f>TEXT(CleanData[[#This Row],[Date]],"mmm")</f>
        <v>Mar</v>
      </c>
      <c r="I973">
        <f>WEEKNUM(CleanData[[#This Row],[Date]])</f>
        <v>10</v>
      </c>
      <c r="J973">
        <f>IF(CleanData[[#This Row],[Revenue]]&gt;=CleanData[[#This Row],[Target]],1,0)</f>
        <v>0</v>
      </c>
      <c r="K973">
        <f>IF(CleanData[[#This Row],[Attendance_Status]]="Present",1,0)</f>
        <v>1</v>
      </c>
    </row>
    <row r="974" spans="1:11" x14ac:dyDescent="0.3">
      <c r="A974" t="s">
        <v>127</v>
      </c>
      <c r="B974" t="s">
        <v>73</v>
      </c>
      <c r="C974" t="s">
        <v>22</v>
      </c>
      <c r="D974">
        <v>23</v>
      </c>
      <c r="E974">
        <v>18858</v>
      </c>
      <c r="F974">
        <v>20724</v>
      </c>
      <c r="G974" t="s">
        <v>10</v>
      </c>
      <c r="H974" t="str">
        <f>TEXT(CleanData[[#This Row],[Date]],"mmm")</f>
        <v>Jun</v>
      </c>
      <c r="I974">
        <f>WEEKNUM(CleanData[[#This Row],[Date]])</f>
        <v>25</v>
      </c>
      <c r="J974">
        <f>IF(CleanData[[#This Row],[Revenue]]&gt;=CleanData[[#This Row],[Target]],1,0)</f>
        <v>0</v>
      </c>
      <c r="K974">
        <f>IF(CleanData[[#This Row],[Attendance_Status]]="Present",1,0)</f>
        <v>1</v>
      </c>
    </row>
    <row r="975" spans="1:11" x14ac:dyDescent="0.3">
      <c r="A975" t="s">
        <v>76</v>
      </c>
      <c r="B975" t="s">
        <v>73</v>
      </c>
      <c r="C975" t="s">
        <v>9</v>
      </c>
      <c r="D975">
        <v>19</v>
      </c>
      <c r="E975">
        <v>17137</v>
      </c>
      <c r="F975">
        <v>17932</v>
      </c>
      <c r="G975" t="s">
        <v>10</v>
      </c>
      <c r="H975" t="str">
        <f>TEXT(CleanData[[#This Row],[Date]],"mmm")</f>
        <v>Feb</v>
      </c>
      <c r="I975">
        <f>WEEKNUM(CleanData[[#This Row],[Date]])</f>
        <v>9</v>
      </c>
      <c r="J975">
        <f>IF(CleanData[[#This Row],[Revenue]]&gt;=CleanData[[#This Row],[Target]],1,0)</f>
        <v>0</v>
      </c>
      <c r="K975">
        <f>IF(CleanData[[#This Row],[Attendance_Status]]="Present",1,0)</f>
        <v>1</v>
      </c>
    </row>
    <row r="976" spans="1:11" x14ac:dyDescent="0.3">
      <c r="A976" t="s">
        <v>89</v>
      </c>
      <c r="B976" t="s">
        <v>8</v>
      </c>
      <c r="C976" t="s">
        <v>13</v>
      </c>
      <c r="D976">
        <v>20</v>
      </c>
      <c r="E976">
        <v>19792</v>
      </c>
      <c r="F976">
        <v>24527</v>
      </c>
      <c r="G976" t="s">
        <v>26</v>
      </c>
      <c r="H976" t="str">
        <f>TEXT(CleanData[[#This Row],[Date]],"mmm")</f>
        <v>Jun</v>
      </c>
      <c r="I976">
        <f>WEEKNUM(CleanData[[#This Row],[Date]])</f>
        <v>23</v>
      </c>
      <c r="J976">
        <f>IF(CleanData[[#This Row],[Revenue]]&gt;=CleanData[[#This Row],[Target]],1,0)</f>
        <v>0</v>
      </c>
      <c r="K976">
        <f>IF(CleanData[[#This Row],[Attendance_Status]]="Present",1,0)</f>
        <v>0</v>
      </c>
    </row>
    <row r="977" spans="1:11" x14ac:dyDescent="0.3">
      <c r="A977" t="s">
        <v>176</v>
      </c>
      <c r="B977" t="s">
        <v>79</v>
      </c>
      <c r="C977" t="s">
        <v>13</v>
      </c>
      <c r="D977">
        <v>12</v>
      </c>
      <c r="E977">
        <v>20273</v>
      </c>
      <c r="F977">
        <v>22377</v>
      </c>
      <c r="G977" t="s">
        <v>10</v>
      </c>
      <c r="H977" t="str">
        <f>TEXT(CleanData[[#This Row],[Date]],"mmm")</f>
        <v>Mar</v>
      </c>
      <c r="I977">
        <f>WEEKNUM(CleanData[[#This Row],[Date]])</f>
        <v>13</v>
      </c>
      <c r="J977">
        <f>IF(CleanData[[#This Row],[Revenue]]&gt;=CleanData[[#This Row],[Target]],1,0)</f>
        <v>0</v>
      </c>
      <c r="K977">
        <f>IF(CleanData[[#This Row],[Attendance_Status]]="Present",1,0)</f>
        <v>1</v>
      </c>
    </row>
    <row r="978" spans="1:11" x14ac:dyDescent="0.3">
      <c r="A978" t="s">
        <v>109</v>
      </c>
      <c r="B978" t="s">
        <v>79</v>
      </c>
      <c r="C978" t="s">
        <v>9</v>
      </c>
      <c r="D978">
        <v>9</v>
      </c>
      <c r="E978">
        <v>12969</v>
      </c>
      <c r="F978">
        <v>12681</v>
      </c>
      <c r="G978" t="s">
        <v>10</v>
      </c>
      <c r="H978" t="str">
        <f>TEXT(CleanData[[#This Row],[Date]],"mmm")</f>
        <v>Mar</v>
      </c>
      <c r="I978">
        <f>WEEKNUM(CleanData[[#This Row],[Date]])</f>
        <v>10</v>
      </c>
      <c r="J978">
        <f>IF(CleanData[[#This Row],[Revenue]]&gt;=CleanData[[#This Row],[Target]],1,0)</f>
        <v>1</v>
      </c>
      <c r="K978">
        <f>IF(CleanData[[#This Row],[Attendance_Status]]="Present",1,0)</f>
        <v>1</v>
      </c>
    </row>
    <row r="979" spans="1:11" x14ac:dyDescent="0.3">
      <c r="A979" t="s">
        <v>192</v>
      </c>
      <c r="B979" t="s">
        <v>25</v>
      </c>
      <c r="C979" t="s">
        <v>9</v>
      </c>
      <c r="D979">
        <v>20</v>
      </c>
      <c r="E979">
        <v>20616</v>
      </c>
      <c r="F979">
        <v>18641</v>
      </c>
      <c r="G979" t="s">
        <v>10</v>
      </c>
      <c r="H979" t="str">
        <f>TEXT(CleanData[[#This Row],[Date]],"mmm")</f>
        <v>Jan</v>
      </c>
      <c r="I979">
        <f>WEEKNUM(CleanData[[#This Row],[Date]])</f>
        <v>3</v>
      </c>
      <c r="J979">
        <f>IF(CleanData[[#This Row],[Revenue]]&gt;=CleanData[[#This Row],[Target]],1,0)</f>
        <v>1</v>
      </c>
      <c r="K979">
        <f>IF(CleanData[[#This Row],[Attendance_Status]]="Present",1,0)</f>
        <v>1</v>
      </c>
    </row>
    <row r="980" spans="1:11" x14ac:dyDescent="0.3">
      <c r="A980" t="s">
        <v>85</v>
      </c>
      <c r="B980" t="s">
        <v>67</v>
      </c>
      <c r="C980" t="s">
        <v>22</v>
      </c>
      <c r="D980">
        <v>16</v>
      </c>
      <c r="E980">
        <v>23255</v>
      </c>
      <c r="F980">
        <v>20084</v>
      </c>
      <c r="G980" t="s">
        <v>10</v>
      </c>
      <c r="H980" t="str">
        <f>TEXT(CleanData[[#This Row],[Date]],"mmm")</f>
        <v>Apr</v>
      </c>
      <c r="I980">
        <f>WEEKNUM(CleanData[[#This Row],[Date]])</f>
        <v>18</v>
      </c>
      <c r="J980">
        <f>IF(CleanData[[#This Row],[Revenue]]&gt;=CleanData[[#This Row],[Target]],1,0)</f>
        <v>1</v>
      </c>
      <c r="K980">
        <f>IF(CleanData[[#This Row],[Attendance_Status]]="Present",1,0)</f>
        <v>1</v>
      </c>
    </row>
    <row r="981" spans="1:11" x14ac:dyDescent="0.3">
      <c r="A981" t="s">
        <v>157</v>
      </c>
      <c r="B981" t="s">
        <v>27</v>
      </c>
      <c r="C981" t="s">
        <v>9</v>
      </c>
      <c r="D981">
        <v>14</v>
      </c>
      <c r="E981">
        <v>18655</v>
      </c>
      <c r="F981">
        <v>22472</v>
      </c>
      <c r="G981" t="s">
        <v>10</v>
      </c>
      <c r="H981" t="str">
        <f>TEXT(CleanData[[#This Row],[Date]],"mmm")</f>
        <v>Jan</v>
      </c>
      <c r="I981">
        <f>WEEKNUM(CleanData[[#This Row],[Date]])</f>
        <v>3</v>
      </c>
      <c r="J981">
        <f>IF(CleanData[[#This Row],[Revenue]]&gt;=CleanData[[#This Row],[Target]],1,0)</f>
        <v>0</v>
      </c>
      <c r="K981">
        <f>IF(CleanData[[#This Row],[Attendance_Status]]="Present",1,0)</f>
        <v>1</v>
      </c>
    </row>
    <row r="982" spans="1:11" x14ac:dyDescent="0.3">
      <c r="A982" t="s">
        <v>186</v>
      </c>
      <c r="B982" t="s">
        <v>35</v>
      </c>
      <c r="C982" t="s">
        <v>9</v>
      </c>
      <c r="D982">
        <v>19</v>
      </c>
      <c r="E982">
        <v>5806</v>
      </c>
      <c r="F982">
        <v>15797</v>
      </c>
      <c r="G982" t="s">
        <v>26</v>
      </c>
      <c r="H982" t="str">
        <f>TEXT(CleanData[[#This Row],[Date]],"mmm")</f>
        <v>Apr</v>
      </c>
      <c r="I982">
        <f>WEEKNUM(CleanData[[#This Row],[Date]])</f>
        <v>16</v>
      </c>
      <c r="J982">
        <f>IF(CleanData[[#This Row],[Revenue]]&gt;=CleanData[[#This Row],[Target]],1,0)</f>
        <v>0</v>
      </c>
      <c r="K982">
        <f>IF(CleanData[[#This Row],[Attendance_Status]]="Present",1,0)</f>
        <v>0</v>
      </c>
    </row>
    <row r="983" spans="1:11" x14ac:dyDescent="0.3">
      <c r="A983" t="s">
        <v>130</v>
      </c>
      <c r="B983" t="s">
        <v>92</v>
      </c>
      <c r="C983" t="s">
        <v>22</v>
      </c>
      <c r="D983">
        <v>8</v>
      </c>
      <c r="E983">
        <v>25204</v>
      </c>
      <c r="F983">
        <v>20549</v>
      </c>
      <c r="G983" t="s">
        <v>10</v>
      </c>
      <c r="H983" t="str">
        <f>TEXT(CleanData[[#This Row],[Date]],"mmm")</f>
        <v>May</v>
      </c>
      <c r="I983">
        <f>WEEKNUM(CleanData[[#This Row],[Date]])</f>
        <v>20</v>
      </c>
      <c r="J983">
        <f>IF(CleanData[[#This Row],[Revenue]]&gt;=CleanData[[#This Row],[Target]],1,0)</f>
        <v>1</v>
      </c>
      <c r="K983">
        <f>IF(CleanData[[#This Row],[Attendance_Status]]="Present",1,0)</f>
        <v>1</v>
      </c>
    </row>
    <row r="984" spans="1:11" x14ac:dyDescent="0.3">
      <c r="A984" t="s">
        <v>72</v>
      </c>
      <c r="B984" t="s">
        <v>40</v>
      </c>
      <c r="C984" t="s">
        <v>13</v>
      </c>
      <c r="D984">
        <v>21</v>
      </c>
      <c r="E984">
        <v>23979</v>
      </c>
      <c r="F984">
        <v>16980</v>
      </c>
      <c r="G984" t="s">
        <v>10</v>
      </c>
      <c r="H984" t="str">
        <f>TEXT(CleanData[[#This Row],[Date]],"mmm")</f>
        <v>Mar</v>
      </c>
      <c r="I984">
        <f>WEEKNUM(CleanData[[#This Row],[Date]])</f>
        <v>10</v>
      </c>
      <c r="J984">
        <f>IF(CleanData[[#This Row],[Revenue]]&gt;=CleanData[[#This Row],[Target]],1,0)</f>
        <v>1</v>
      </c>
      <c r="K984">
        <f>IF(CleanData[[#This Row],[Attendance_Status]]="Present",1,0)</f>
        <v>1</v>
      </c>
    </row>
    <row r="985" spans="1:11" x14ac:dyDescent="0.3">
      <c r="A985" t="s">
        <v>149</v>
      </c>
      <c r="B985" t="s">
        <v>120</v>
      </c>
      <c r="C985" t="s">
        <v>13</v>
      </c>
      <c r="D985">
        <v>20</v>
      </c>
      <c r="E985">
        <v>12033</v>
      </c>
      <c r="F985">
        <v>24091</v>
      </c>
      <c r="G985" t="s">
        <v>26</v>
      </c>
      <c r="H985" t="str">
        <f>TEXT(CleanData[[#This Row],[Date]],"mmm")</f>
        <v>Mar</v>
      </c>
      <c r="I985">
        <f>WEEKNUM(CleanData[[#This Row],[Date]])</f>
        <v>12</v>
      </c>
      <c r="J985">
        <f>IF(CleanData[[#This Row],[Revenue]]&gt;=CleanData[[#This Row],[Target]],1,0)</f>
        <v>0</v>
      </c>
      <c r="K985">
        <f>IF(CleanData[[#This Row],[Attendance_Status]]="Present",1,0)</f>
        <v>0</v>
      </c>
    </row>
    <row r="986" spans="1:11" x14ac:dyDescent="0.3">
      <c r="A986" t="s">
        <v>78</v>
      </c>
      <c r="B986" t="s">
        <v>33</v>
      </c>
      <c r="C986" t="s">
        <v>22</v>
      </c>
      <c r="D986">
        <v>22</v>
      </c>
      <c r="E986">
        <v>9896</v>
      </c>
      <c r="F986">
        <v>19396</v>
      </c>
      <c r="G986" t="s">
        <v>10</v>
      </c>
      <c r="H986" t="str">
        <f>TEXT(CleanData[[#This Row],[Date]],"mmm")</f>
        <v>Apr</v>
      </c>
      <c r="I986">
        <f>WEEKNUM(CleanData[[#This Row],[Date]])</f>
        <v>15</v>
      </c>
      <c r="J986">
        <f>IF(CleanData[[#This Row],[Revenue]]&gt;=CleanData[[#This Row],[Target]],1,0)</f>
        <v>0</v>
      </c>
      <c r="K986">
        <f>IF(CleanData[[#This Row],[Attendance_Status]]="Present",1,0)</f>
        <v>1</v>
      </c>
    </row>
    <row r="987" spans="1:11" x14ac:dyDescent="0.3">
      <c r="A987" t="s">
        <v>65</v>
      </c>
      <c r="B987" t="s">
        <v>46</v>
      </c>
      <c r="C987" t="s">
        <v>13</v>
      </c>
      <c r="D987">
        <v>13</v>
      </c>
      <c r="E987">
        <v>20970</v>
      </c>
      <c r="F987">
        <v>10995</v>
      </c>
      <c r="G987" t="s">
        <v>10</v>
      </c>
      <c r="H987" t="str">
        <f>TEXT(CleanData[[#This Row],[Date]],"mmm")</f>
        <v>Apr</v>
      </c>
      <c r="I987">
        <f>WEEKNUM(CleanData[[#This Row],[Date]])</f>
        <v>14</v>
      </c>
      <c r="J987">
        <f>IF(CleanData[[#This Row],[Revenue]]&gt;=CleanData[[#This Row],[Target]],1,0)</f>
        <v>1</v>
      </c>
      <c r="K987">
        <f>IF(CleanData[[#This Row],[Attendance_Status]]="Present",1,0)</f>
        <v>1</v>
      </c>
    </row>
    <row r="988" spans="1:11" x14ac:dyDescent="0.3">
      <c r="A988" t="s">
        <v>81</v>
      </c>
      <c r="B988" t="s">
        <v>101</v>
      </c>
      <c r="C988" t="s">
        <v>22</v>
      </c>
      <c r="D988">
        <v>10</v>
      </c>
      <c r="E988">
        <v>7882</v>
      </c>
      <c r="F988">
        <v>10985</v>
      </c>
      <c r="G988" t="s">
        <v>10</v>
      </c>
      <c r="H988" t="str">
        <f>TEXT(CleanData[[#This Row],[Date]],"mmm")</f>
        <v>Feb</v>
      </c>
      <c r="I988">
        <f>WEEKNUM(CleanData[[#This Row],[Date]])</f>
        <v>7</v>
      </c>
      <c r="J988">
        <f>IF(CleanData[[#This Row],[Revenue]]&gt;=CleanData[[#This Row],[Target]],1,0)</f>
        <v>0</v>
      </c>
      <c r="K988">
        <f>IF(CleanData[[#This Row],[Attendance_Status]]="Present",1,0)</f>
        <v>1</v>
      </c>
    </row>
    <row r="989" spans="1:11" x14ac:dyDescent="0.3">
      <c r="A989" t="s">
        <v>115</v>
      </c>
      <c r="B989" t="s">
        <v>15</v>
      </c>
      <c r="C989" t="s">
        <v>13</v>
      </c>
      <c r="D989">
        <v>22</v>
      </c>
      <c r="E989">
        <v>24419</v>
      </c>
      <c r="F989">
        <v>20210</v>
      </c>
      <c r="G989" t="s">
        <v>10</v>
      </c>
      <c r="H989" t="str">
        <f>TEXT(CleanData[[#This Row],[Date]],"mmm")</f>
        <v>Jan</v>
      </c>
      <c r="I989">
        <f>WEEKNUM(CleanData[[#This Row],[Date]])</f>
        <v>3</v>
      </c>
      <c r="J989">
        <f>IF(CleanData[[#This Row],[Revenue]]&gt;=CleanData[[#This Row],[Target]],1,0)</f>
        <v>1</v>
      </c>
      <c r="K989">
        <f>IF(CleanData[[#This Row],[Attendance_Status]]="Present",1,0)</f>
        <v>1</v>
      </c>
    </row>
    <row r="990" spans="1:11" x14ac:dyDescent="0.3">
      <c r="A990" t="s">
        <v>221</v>
      </c>
      <c r="B990" t="s">
        <v>35</v>
      </c>
      <c r="C990" t="s">
        <v>22</v>
      </c>
      <c r="D990">
        <v>9</v>
      </c>
      <c r="E990">
        <v>14760</v>
      </c>
      <c r="F990">
        <v>11127</v>
      </c>
      <c r="G990" t="s">
        <v>10</v>
      </c>
      <c r="H990" t="str">
        <f>TEXT(CleanData[[#This Row],[Date]],"mmm")</f>
        <v>May</v>
      </c>
      <c r="I990">
        <f>WEEKNUM(CleanData[[#This Row],[Date]])</f>
        <v>20</v>
      </c>
      <c r="J990">
        <f>IF(CleanData[[#This Row],[Revenue]]&gt;=CleanData[[#This Row],[Target]],1,0)</f>
        <v>1</v>
      </c>
      <c r="K990">
        <f>IF(CleanData[[#This Row],[Attendance_Status]]="Present",1,0)</f>
        <v>1</v>
      </c>
    </row>
    <row r="991" spans="1:11" x14ac:dyDescent="0.3">
      <c r="A991" t="s">
        <v>91</v>
      </c>
      <c r="B991" t="s">
        <v>101</v>
      </c>
      <c r="C991" t="s">
        <v>22</v>
      </c>
      <c r="D991">
        <v>14</v>
      </c>
      <c r="E991">
        <v>25747</v>
      </c>
      <c r="F991">
        <v>13668</v>
      </c>
      <c r="G991" t="s">
        <v>10</v>
      </c>
      <c r="H991" t="str">
        <f>TEXT(CleanData[[#This Row],[Date]],"mmm")</f>
        <v>Jan</v>
      </c>
      <c r="I991">
        <f>WEEKNUM(CleanData[[#This Row],[Date]])</f>
        <v>4</v>
      </c>
      <c r="J991">
        <f>IF(CleanData[[#This Row],[Revenue]]&gt;=CleanData[[#This Row],[Target]],1,0)</f>
        <v>1</v>
      </c>
      <c r="K991">
        <f>IF(CleanData[[#This Row],[Attendance_Status]]="Present",1,0)</f>
        <v>1</v>
      </c>
    </row>
    <row r="992" spans="1:11" x14ac:dyDescent="0.3">
      <c r="A992" t="s">
        <v>111</v>
      </c>
      <c r="B992" t="s">
        <v>75</v>
      </c>
      <c r="C992" t="s">
        <v>9</v>
      </c>
      <c r="D992">
        <v>18</v>
      </c>
      <c r="E992">
        <v>25528</v>
      </c>
      <c r="F992">
        <v>22717</v>
      </c>
      <c r="G992" t="s">
        <v>10</v>
      </c>
      <c r="H992" t="str">
        <f>TEXT(CleanData[[#This Row],[Date]],"mmm")</f>
        <v>Mar</v>
      </c>
      <c r="I992">
        <f>WEEKNUM(CleanData[[#This Row],[Date]])</f>
        <v>11</v>
      </c>
      <c r="J992">
        <f>IF(CleanData[[#This Row],[Revenue]]&gt;=CleanData[[#This Row],[Target]],1,0)</f>
        <v>1</v>
      </c>
      <c r="K992">
        <f>IF(CleanData[[#This Row],[Attendance_Status]]="Present",1,0)</f>
        <v>1</v>
      </c>
    </row>
    <row r="993" spans="1:11" x14ac:dyDescent="0.3">
      <c r="A993" t="s">
        <v>219</v>
      </c>
      <c r="B993" t="s">
        <v>50</v>
      </c>
      <c r="C993" t="s">
        <v>13</v>
      </c>
      <c r="D993">
        <v>10</v>
      </c>
      <c r="E993">
        <v>10981</v>
      </c>
      <c r="F993">
        <v>11012</v>
      </c>
      <c r="G993" t="s">
        <v>10</v>
      </c>
      <c r="H993" t="str">
        <f>TEXT(CleanData[[#This Row],[Date]],"mmm")</f>
        <v>Feb</v>
      </c>
      <c r="I993">
        <f>WEEKNUM(CleanData[[#This Row],[Date]])</f>
        <v>7</v>
      </c>
      <c r="J993">
        <f>IF(CleanData[[#This Row],[Revenue]]&gt;=CleanData[[#This Row],[Target]],1,0)</f>
        <v>0</v>
      </c>
      <c r="K993">
        <f>IF(CleanData[[#This Row],[Attendance_Status]]="Present",1,0)</f>
        <v>1</v>
      </c>
    </row>
    <row r="994" spans="1:11" x14ac:dyDescent="0.3">
      <c r="A994" t="s">
        <v>211</v>
      </c>
      <c r="B994" t="s">
        <v>8</v>
      </c>
      <c r="C994" t="s">
        <v>13</v>
      </c>
      <c r="D994">
        <v>9</v>
      </c>
      <c r="E994">
        <v>29183</v>
      </c>
      <c r="F994">
        <v>17135</v>
      </c>
      <c r="G994" t="s">
        <v>10</v>
      </c>
      <c r="H994" t="str">
        <f>TEXT(CleanData[[#This Row],[Date]],"mmm")</f>
        <v>Apr</v>
      </c>
      <c r="I994">
        <f>WEEKNUM(CleanData[[#This Row],[Date]])</f>
        <v>14</v>
      </c>
      <c r="J994">
        <f>IF(CleanData[[#This Row],[Revenue]]&gt;=CleanData[[#This Row],[Target]],1,0)</f>
        <v>1</v>
      </c>
      <c r="K994">
        <f>IF(CleanData[[#This Row],[Attendance_Status]]="Present",1,0)</f>
        <v>1</v>
      </c>
    </row>
    <row r="995" spans="1:11" x14ac:dyDescent="0.3">
      <c r="A995" t="s">
        <v>161</v>
      </c>
      <c r="B995" t="s">
        <v>52</v>
      </c>
      <c r="C995" t="s">
        <v>22</v>
      </c>
      <c r="D995">
        <v>5</v>
      </c>
      <c r="E995">
        <v>29119</v>
      </c>
      <c r="F995">
        <v>18867</v>
      </c>
      <c r="G995" t="s">
        <v>10</v>
      </c>
      <c r="H995" t="str">
        <f>TEXT(CleanData[[#This Row],[Date]],"mmm")</f>
        <v>Mar</v>
      </c>
      <c r="I995">
        <f>WEEKNUM(CleanData[[#This Row],[Date]])</f>
        <v>13</v>
      </c>
      <c r="J995">
        <f>IF(CleanData[[#This Row],[Revenue]]&gt;=CleanData[[#This Row],[Target]],1,0)</f>
        <v>1</v>
      </c>
      <c r="K995">
        <f>IF(CleanData[[#This Row],[Attendance_Status]]="Present",1,0)</f>
        <v>1</v>
      </c>
    </row>
    <row r="996" spans="1:11" x14ac:dyDescent="0.3">
      <c r="A996" t="s">
        <v>156</v>
      </c>
      <c r="B996" t="s">
        <v>50</v>
      </c>
      <c r="C996" t="s">
        <v>22</v>
      </c>
      <c r="D996">
        <v>25</v>
      </c>
      <c r="E996">
        <v>25963</v>
      </c>
      <c r="F996">
        <v>18210</v>
      </c>
      <c r="G996" t="s">
        <v>10</v>
      </c>
      <c r="H996" t="str">
        <f>TEXT(CleanData[[#This Row],[Date]],"mmm")</f>
        <v>Jan</v>
      </c>
      <c r="I996">
        <f>WEEKNUM(CleanData[[#This Row],[Date]])</f>
        <v>1</v>
      </c>
      <c r="J996">
        <f>IF(CleanData[[#This Row],[Revenue]]&gt;=CleanData[[#This Row],[Target]],1,0)</f>
        <v>1</v>
      </c>
      <c r="K996">
        <f>IF(CleanData[[#This Row],[Attendance_Status]]="Present",1,0)</f>
        <v>1</v>
      </c>
    </row>
    <row r="997" spans="1:11" x14ac:dyDescent="0.3">
      <c r="A997" t="s">
        <v>206</v>
      </c>
      <c r="B997" t="s">
        <v>40</v>
      </c>
      <c r="C997" t="s">
        <v>13</v>
      </c>
      <c r="D997">
        <v>23</v>
      </c>
      <c r="E997">
        <v>23092</v>
      </c>
      <c r="F997">
        <v>17935</v>
      </c>
      <c r="G997" t="s">
        <v>10</v>
      </c>
      <c r="H997" t="str">
        <f>TEXT(CleanData[[#This Row],[Date]],"mmm")</f>
        <v>Jun</v>
      </c>
      <c r="I997">
        <f>WEEKNUM(CleanData[[#This Row],[Date]])</f>
        <v>25</v>
      </c>
      <c r="J997">
        <f>IF(CleanData[[#This Row],[Revenue]]&gt;=CleanData[[#This Row],[Target]],1,0)</f>
        <v>1</v>
      </c>
      <c r="K997">
        <f>IF(CleanData[[#This Row],[Attendance_Status]]="Present",1,0)</f>
        <v>1</v>
      </c>
    </row>
    <row r="998" spans="1:11" x14ac:dyDescent="0.3">
      <c r="A998" t="s">
        <v>63</v>
      </c>
      <c r="B998" t="s">
        <v>67</v>
      </c>
      <c r="C998" t="s">
        <v>13</v>
      </c>
      <c r="D998">
        <v>6</v>
      </c>
      <c r="E998">
        <v>12287</v>
      </c>
      <c r="F998">
        <v>23389</v>
      </c>
      <c r="G998" t="s">
        <v>10</v>
      </c>
      <c r="H998" t="str">
        <f>TEXT(CleanData[[#This Row],[Date]],"mmm")</f>
        <v>Jun</v>
      </c>
      <c r="I998">
        <f>WEEKNUM(CleanData[[#This Row],[Date]])</f>
        <v>24</v>
      </c>
      <c r="J998">
        <f>IF(CleanData[[#This Row],[Revenue]]&gt;=CleanData[[#This Row],[Target]],1,0)</f>
        <v>0</v>
      </c>
      <c r="K998">
        <f>IF(CleanData[[#This Row],[Attendance_Status]]="Present",1,0)</f>
        <v>1</v>
      </c>
    </row>
    <row r="999" spans="1:11" x14ac:dyDescent="0.3">
      <c r="A999" t="s">
        <v>183</v>
      </c>
      <c r="B999" t="s">
        <v>17</v>
      </c>
      <c r="C999" t="s">
        <v>9</v>
      </c>
      <c r="D999">
        <v>17</v>
      </c>
      <c r="E999">
        <v>29963</v>
      </c>
      <c r="F999">
        <v>22013</v>
      </c>
      <c r="G999" t="s">
        <v>10</v>
      </c>
      <c r="H999" t="str">
        <f>TEXT(CleanData[[#This Row],[Date]],"mmm")</f>
        <v>Mar</v>
      </c>
      <c r="I999">
        <f>WEEKNUM(CleanData[[#This Row],[Date]])</f>
        <v>10</v>
      </c>
      <c r="J999">
        <f>IF(CleanData[[#This Row],[Revenue]]&gt;=CleanData[[#This Row],[Target]],1,0)</f>
        <v>1</v>
      </c>
      <c r="K999">
        <f>IF(CleanData[[#This Row],[Attendance_Status]]="Present",1,0)</f>
        <v>1</v>
      </c>
    </row>
    <row r="1000" spans="1:11" x14ac:dyDescent="0.3">
      <c r="A1000" t="s">
        <v>220</v>
      </c>
      <c r="B1000" t="s">
        <v>42</v>
      </c>
      <c r="C1000" t="s">
        <v>22</v>
      </c>
      <c r="D1000">
        <v>12</v>
      </c>
      <c r="E1000">
        <v>15946</v>
      </c>
      <c r="F1000">
        <v>14485</v>
      </c>
      <c r="G1000" t="s">
        <v>10</v>
      </c>
      <c r="H1000" t="str">
        <f>TEXT(CleanData[[#This Row],[Date]],"mmm")</f>
        <v>Apr</v>
      </c>
      <c r="I1000">
        <f>WEEKNUM(CleanData[[#This Row],[Date]])</f>
        <v>18</v>
      </c>
      <c r="J1000">
        <f>IF(CleanData[[#This Row],[Revenue]]&gt;=CleanData[[#This Row],[Target]],1,0)</f>
        <v>1</v>
      </c>
      <c r="K1000">
        <f>IF(CleanData[[#This Row],[Attendance_Status]]="Present",1,0)</f>
        <v>1</v>
      </c>
    </row>
    <row r="1001" spans="1:11" x14ac:dyDescent="0.3">
      <c r="A1001" t="s">
        <v>57</v>
      </c>
      <c r="B1001" t="s">
        <v>79</v>
      </c>
      <c r="C1001" t="s">
        <v>13</v>
      </c>
      <c r="D1001">
        <v>24</v>
      </c>
      <c r="E1001">
        <v>23822</v>
      </c>
      <c r="F1001">
        <v>18362</v>
      </c>
      <c r="G1001" t="s">
        <v>10</v>
      </c>
      <c r="H1001" t="str">
        <f>TEXT(CleanData[[#This Row],[Date]],"mmm")</f>
        <v>Jun</v>
      </c>
      <c r="I1001">
        <f>WEEKNUM(CleanData[[#This Row],[Date]])</f>
        <v>25</v>
      </c>
      <c r="J1001">
        <f>IF(CleanData[[#This Row],[Revenue]]&gt;=CleanData[[#This Row],[Target]],1,0)</f>
        <v>1</v>
      </c>
      <c r="K1001">
        <f>IF(CleanData[[#This Row],[Attendance_Status]]="Present",1,0)</f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CB0C8-E17E-430B-B34F-21E7C70ADD30}">
  <dimension ref="A1:E14"/>
  <sheetViews>
    <sheetView showGridLines="0" workbookViewId="0">
      <selection activeCell="D4" sqref="D4"/>
    </sheetView>
  </sheetViews>
  <sheetFormatPr defaultRowHeight="21" x14ac:dyDescent="0.4"/>
  <cols>
    <col min="1" max="1" width="42.6640625" style="2" customWidth="1"/>
    <col min="2" max="2" width="53.88671875" bestFit="1" customWidth="1"/>
    <col min="3" max="3" width="11.88671875" bestFit="1" customWidth="1"/>
    <col min="4" max="4" width="14.88671875" bestFit="1" customWidth="1"/>
    <col min="6" max="6" width="14.88671875" bestFit="1" customWidth="1"/>
  </cols>
  <sheetData>
    <row r="1" spans="1:5" ht="27" x14ac:dyDescent="0.6">
      <c r="A1" s="8" t="s">
        <v>233</v>
      </c>
      <c r="B1" s="7"/>
      <c r="C1" s="7"/>
      <c r="D1" s="7"/>
      <c r="E1" s="7"/>
    </row>
    <row r="2" spans="1:5" ht="28.8" customHeight="1" x14ac:dyDescent="0.55000000000000004">
      <c r="A2" s="15" t="s">
        <v>226</v>
      </c>
      <c r="B2" s="4">
        <v>25</v>
      </c>
    </row>
    <row r="3" spans="1:5" ht="14.4" customHeight="1" x14ac:dyDescent="0.3">
      <c r="A3" s="1"/>
    </row>
    <row r="4" spans="1:5" ht="46.2" customHeight="1" x14ac:dyDescent="0.3">
      <c r="A4" s="13" t="s">
        <v>227</v>
      </c>
      <c r="B4" s="9">
        <f>SUMIFS(CleanData[Revenue],CleanData[Week_Number],Calculation!B2)</f>
        <v>759099</v>
      </c>
    </row>
    <row r="5" spans="1:5" ht="21" customHeight="1" x14ac:dyDescent="0.3">
      <c r="A5" s="13" t="s">
        <v>228</v>
      </c>
      <c r="B5" s="10">
        <f>SUMIFS(CleanData[Orders_Handled],CleanData[Week_Number],Calculation!B2)</f>
        <v>718</v>
      </c>
    </row>
    <row r="6" spans="1:5" ht="33.6" customHeight="1" x14ac:dyDescent="0.3">
      <c r="A6" s="13" t="s">
        <v>229</v>
      </c>
      <c r="B6" s="11">
        <f>AVERAGEIFS(CleanData[Target_Achieved],CleanData[Week_Number],Calculation!B2)</f>
        <v>0.36170212765957449</v>
      </c>
    </row>
    <row r="7" spans="1:5" ht="33.6" customHeight="1" x14ac:dyDescent="0.3">
      <c r="A7" s="13" t="s">
        <v>230</v>
      </c>
      <c r="B7" s="12">
        <f>AVERAGEIFS(CleanData[Attendance_Flag],CleanData[Week_Number],Calculation!B2)</f>
        <v>0.95744680851063835</v>
      </c>
    </row>
    <row r="10" spans="1:5" ht="25.8" customHeight="1" x14ac:dyDescent="0.5">
      <c r="A10" s="14" t="s">
        <v>2</v>
      </c>
      <c r="B10" s="14" t="s">
        <v>4</v>
      </c>
      <c r="C10" s="14" t="s">
        <v>231</v>
      </c>
      <c r="D10" s="14" t="s">
        <v>232</v>
      </c>
    </row>
    <row r="12" spans="1:5" ht="25.8" customHeight="1" x14ac:dyDescent="0.5">
      <c r="A12" s="3" t="s">
        <v>22</v>
      </c>
      <c r="B12" s="16">
        <f>SUMIFS(CleanData[Revenue],CleanData[Week_Number],B2,CleanData[Department],A12)</f>
        <v>296086</v>
      </c>
      <c r="C12" s="3">
        <f>SUMIFS(CleanData[Orders_Handled],CleanData[Week_Number],B2,CleanData[Department],A12)</f>
        <v>291</v>
      </c>
      <c r="D12" s="5">
        <f>AVERAGEIFS(CleanData[Target_Achieved],CleanData[Week_Number],B2,CleanData[Department],A12)</f>
        <v>0.31578947368421051</v>
      </c>
    </row>
    <row r="13" spans="1:5" ht="25.8" customHeight="1" x14ac:dyDescent="0.5">
      <c r="A13" s="3" t="s">
        <v>13</v>
      </c>
      <c r="B13" s="16">
        <f>SUMIFS(CleanData[Revenue],CleanData[Week_Number],B2,CleanData[Department],A13)</f>
        <v>221488</v>
      </c>
      <c r="C13" s="3">
        <f>SUMIFS(CleanData[Orders_Handled],CleanData[Week_Number],B2,CleanData[Department],A13)</f>
        <v>206</v>
      </c>
      <c r="D13" s="6">
        <f>AVERAGEIFS(CleanData[Target_Achieved],CleanData[Week_Number],B2,CleanData[Department],A13)</f>
        <v>0.38461538461538464</v>
      </c>
    </row>
    <row r="14" spans="1:5" ht="25.8" customHeight="1" x14ac:dyDescent="0.5">
      <c r="A14" s="3" t="s">
        <v>9</v>
      </c>
      <c r="B14" s="16">
        <f>SUMIFS(CleanData[Revenue],CleanData[Week_Number],B2,CleanData[Department],A14)</f>
        <v>241525</v>
      </c>
      <c r="C14" s="3">
        <f>SUMIFS(CleanData[Orders_Handled],CleanData[Week_Number],B2,CleanData[Department],A14)</f>
        <v>221</v>
      </c>
      <c r="D14" s="6">
        <f>AVERAGEIFS(CleanData[Target_Achieved],CleanData[Week_Number],B2,CleanData[Department],A14)</f>
        <v>0.4</v>
      </c>
    </row>
  </sheetData>
  <conditionalFormatting sqref="B6">
    <cfRule type="cellIs" dxfId="5" priority="4" operator="lessThan">
      <formula>0.5</formula>
    </cfRule>
    <cfRule type="cellIs" dxfId="4" priority="5" operator="between">
      <formula>0.5</formula>
      <formula>0.699</formula>
    </cfRule>
    <cfRule type="cellIs" dxfId="3" priority="6" operator="greaterThanOrEqual">
      <formula>0.7</formula>
    </cfRule>
  </conditionalFormatting>
  <conditionalFormatting sqref="B7">
    <cfRule type="cellIs" dxfId="2" priority="1" operator="lessThan">
      <formula>0.75</formula>
    </cfRule>
    <cfRule type="cellIs" dxfId="1" priority="2" operator="between">
      <formula>0.7</formula>
      <formula>0.8999</formula>
    </cfRule>
    <cfRule type="cellIs" dxfId="0" priority="3" operator="greaterThanOrEqual">
      <formula>0.9</formula>
    </cfRule>
  </conditionalFormatting>
  <dataValidations count="1">
    <dataValidation type="list" allowBlank="1" showInputMessage="1" showErrorMessage="1" sqref="B2" xr:uid="{979DC4AA-0124-4C5B-9C3C-C4E1D2E88967}">
      <formula1>"1,2,3,4,5,6,7,8,9,10,11,,12,13,14,15,16,17,18,19,20,21,22,23,24,25,26,27,28,29,30,31"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424A080-99B7-41CA-A2F7-AD29E09C17C2}">
          <x14:formula1>
            <xm:f>Data_Cleaning!$I$2:$I$1001</xm:f>
          </x14:formula1>
          <xm:sqref>D2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Data_Cleaning</vt:lpstr>
      <vt:lpstr>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Prathyush K</cp:lastModifiedBy>
  <dcterms:created xsi:type="dcterms:W3CDTF">2026-02-13T09:43:56Z</dcterms:created>
  <dcterms:modified xsi:type="dcterms:W3CDTF">2026-05-05T07:36:55Z</dcterms:modified>
</cp:coreProperties>
</file>